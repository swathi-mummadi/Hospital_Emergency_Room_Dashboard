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6CA754A3-E7D6-4102-862E-A7355B16947C}" xr6:coauthVersionLast="47" xr6:coauthVersionMax="47" xr10:uidLastSave="{00000000-0000-0000-0000-000000000000}"/>
  <bookViews>
    <workbookView xWindow="-110" yWindow="-110" windowWidth="19420" windowHeight="11500" activeTab="1" xr2:uid="{CFF81601-A75B-4167-BE76-789C59688AA3}"/>
  </bookViews>
  <sheets>
    <sheet name="Pivot report" sheetId="1" r:id="rId1"/>
    <sheet name="Dashboard" sheetId="2" r:id="rId2"/>
    <sheet name="Daily Trends" sheetId="3"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34c6c97-6367-4acc-bc49-81eb06cd5fe8" name="Hospital Emergency Room Data" connection="Query - Hospital Emergency Room Data"/>
          <x15:modelTable id="Calendar_fd7a6217-e243-44ac-bb69-19d2873a1dd2" name="Calendar" connection="Query - Calendar"/>
        </x15:modelTables>
        <x15:modelRelationships>
          <x15:modelRelationship fromTable="Hospital Emergency Room Data"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0" i="1" l="1"/>
  <c r="B40" i="1"/>
  <c r="C40" i="1"/>
  <c r="C41" i="1"/>
  <c r="B41" i="1"/>
  <c r="A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1001A6-D1F5-4CBD-8BCF-E63446DDBDC7}" name="Query - Calendar" description="Connection to the 'Calendar' query in the workbook." type="100" refreshedVersion="8" minRefreshableVersion="5">
    <extLst>
      <ext xmlns:x15="http://schemas.microsoft.com/office/spreadsheetml/2010/11/main" uri="{DE250136-89BD-433C-8126-D09CA5730AF9}">
        <x15:connection id="c8aceb66-6d70-442a-8908-95beb45ad7a3"/>
      </ext>
    </extLst>
  </connection>
  <connection id="2" xr16:uid="{230587AD-E68B-448D-82E7-EE0DC60F99D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99f7b57-1326-48f0-9277-c088ea5452f5"/>
      </ext>
    </extLst>
  </connection>
  <connection id="3" xr16:uid="{BFDE05C3-65BE-455C-855C-DDBE40D70B6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<sst xmlns="http://schemas.openxmlformats.org/spreadsheetml/2006/main" count="156" uniqueCount="73">
  <si>
    <t>Count of Patient Id</t>
  </si>
  <si>
    <t>No.Of Patients</t>
  </si>
  <si>
    <t>Average of Patient Waittime</t>
  </si>
  <si>
    <t>Average of Patient Satisfaction Score</t>
  </si>
  <si>
    <t>Grand Total</t>
  </si>
  <si>
    <t>Row Labels</t>
  </si>
  <si>
    <t>daily trends of no of patients</t>
  </si>
  <si>
    <t>daily trends of waittime</t>
  </si>
  <si>
    <t>daily trends of satisfication</t>
  </si>
  <si>
    <t>Delay</t>
  </si>
  <si>
    <t>Ontime</t>
  </si>
  <si>
    <t>Female</t>
  </si>
  <si>
    <t>Male</t>
  </si>
  <si>
    <t>Count of Patient Admission Flag</t>
  </si>
  <si>
    <t>Admitted</t>
  </si>
  <si>
    <t>Not Admitted</t>
  </si>
  <si>
    <t>None</t>
  </si>
  <si>
    <t>70-79</t>
  </si>
  <si>
    <t>0-9</t>
  </si>
  <si>
    <t>20-29</t>
  </si>
  <si>
    <t>40-49</t>
  </si>
  <si>
    <t>10-19</t>
  </si>
  <si>
    <t>30-39</t>
  </si>
  <si>
    <t>60-69</t>
  </si>
  <si>
    <t>50-59</t>
  </si>
  <si>
    <t>General Practice</t>
  </si>
  <si>
    <t>Orthopedics</t>
  </si>
  <si>
    <t>Physiotherapy</t>
  </si>
  <si>
    <t>Cardiology</t>
  </si>
  <si>
    <t>Neurology</t>
  </si>
  <si>
    <t>Gastroenterology</t>
  </si>
  <si>
    <t>Renal</t>
  </si>
  <si>
    <t>Count of Patient Admission Flag2</t>
  </si>
  <si>
    <t>Admission Status</t>
  </si>
  <si>
    <t>Patients</t>
  </si>
  <si>
    <t>%Status</t>
  </si>
  <si>
    <t>Count of Age Group</t>
  </si>
  <si>
    <t>Count of Department Referral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</si>
  <si>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</si>
  <si>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</si>
  <si>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</si>
  <si>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</si>
  <si>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</si>
  <si>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</si>
  <si>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</si>
  <si>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</si>
  <si>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</si>
  <si>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</si>
  <si>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</si>
  <si>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</si>
  <si>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</si>
  <si>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</si>
  <si>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</si>
  <si>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</si>
  <si>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</si>
  <si>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</si>
  <si>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</si>
  <si>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</si>
  <si>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</si>
  <si>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</si>
  <si>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</si>
  <si>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</si>
  <si>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</si>
  <si>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</si>
  <si>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</si>
  <si>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</si>
  <si>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</si>
  <si>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</si>
  <si>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</si>
  <si>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</si>
  <si>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No. of Patients</t>
  </si>
  <si>
    <t>Patient Satisfication Score</t>
  </si>
  <si>
    <t>Avg. WaitTime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</si>
</sst>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patternFill>
    </fill>
    <fill>
      <patternFill patternType="solid">
        <fgColor rgb="FFFFFF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3" borderId="0" applyNumberFormat="0" applyBorder="0" applyAlignment="0" applyProtection="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1" fontId="0" fillId="0" borderId="0" xfId="0" applyNumberFormat="1"/>
    <xf numFmtId="9" fontId="0" fillId="0" borderId="0" xfId="1" applyFont="1"/>
    <xf numFmtId="0" fontId="2" fillId="3" borderId="0" xfId="2" applyAlignment="1">
      <alignment horizontal="center"/>
    </xf>
    <xf numFmtId="0" fontId="2" fillId="3" borderId="0" xfId="2"/>
    <xf numFmtId="9" fontId="2" fillId="3" borderId="0" xfId="2" applyNumberFormat="1" applyAlignment="1">
      <alignment horizontal="center"/>
    </xf>
    <xf numFmtId="0" fontId="0" fillId="4" borderId="0" xfId="0" applyFill="1"/>
  </cellXfs>
  <cellStyles count="3">
    <cellStyle name="Accent1" xfId="2" builtinId="29"/>
    <cellStyle name="Normal" xfId="0" builtinId="0"/>
    <cellStyle name="Percent" xfId="1" builtinId="5"/>
  </cellStyles>
  <dxfs count="19">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font>
        <b/>
        <color theme="1"/>
      </font>
      <border>
        <bottom style="thin">
          <color rgb="FF4F81BD"/>
        </bottom>
        <vertical/>
        <horizontal/>
      </border>
    </dxf>
    <dxf>
      <font>
        <color theme="1"/>
      </font>
      <fill>
        <patternFill>
          <bgColor theme="4"/>
        </patternFill>
      </fill>
      <border diagonalUp="0" diagonalDown="0">
        <left/>
        <right/>
        <top/>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s>
  <tableStyles count="2" defaultTableStyle="TableStyleMedium2" defaultPivotStyle="PivotStyleLight16">
    <tableStyle name="my style" pivot="0" table="0" count="10" xr9:uid="{4D100623-5289-42DF-ADAD-37D696BFFC78}">
      <tableStyleElement type="wholeTable" dxfId="18"/>
      <tableStyleElement type="headerRow" dxfId="17"/>
    </tableStyle>
    <tableStyle name="SlicerStyleOther2 2" pivot="0" table="0" count="10" xr9:uid="{79A06E99-CDC2-4A03-99C9-4AD0C20E7963}">
      <tableStyleElement type="wholeTable" dxfId="16"/>
      <tableStyleElement type="headerRow" dxfId="15"/>
    </tableStyle>
  </tableStyle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6"/>
  </c:pivotSource>
  <c:chart>
    <c:autoTitleDeleted val="0"/>
    <c:pivotFmts>
      <c:pivotFmt>
        <c:idx val="0"/>
        <c:spPr>
          <a:gradFill>
            <a:gsLst>
              <a:gs pos="9000">
                <a:schemeClr val="accent1">
                  <a:lumMod val="40000"/>
                  <a:lumOff val="60000"/>
                </a:schemeClr>
              </a:gs>
              <a:gs pos="25883">
                <a:srgbClr val="DCE4F4"/>
              </a:gs>
              <a:gs pos="16650">
                <a:srgbClr val="E5EBF7"/>
              </a:gs>
              <a:gs pos="8621">
                <a:srgbClr val="E5EBF7"/>
              </a:gs>
              <a:gs pos="25000">
                <a:schemeClr val="accent1">
                  <a:lumMod val="5000"/>
                  <a:lumOff val="95000"/>
                </a:schemeClr>
              </a:gs>
              <a:gs pos="74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gradFill>
            <a:gsLst>
              <a:gs pos="9000">
                <a:schemeClr val="accent1">
                  <a:lumMod val="40000"/>
                  <a:lumOff val="60000"/>
                </a:schemeClr>
              </a:gs>
              <a:gs pos="25883">
                <a:srgbClr val="DCE4F4"/>
              </a:gs>
              <a:gs pos="16650">
                <a:srgbClr val="E5EBF7"/>
              </a:gs>
              <a:gs pos="8621">
                <a:srgbClr val="E5EBF7"/>
              </a:gs>
              <a:gs pos="25000">
                <a:schemeClr val="accent1">
                  <a:lumMod val="5000"/>
                  <a:lumOff val="95000"/>
                </a:schemeClr>
              </a:gs>
              <a:gs pos="74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bg1"/>
                    </a:solidFill>
                    <a:latin typeface="+mn-lt"/>
                    <a:ea typeface="+mn-ea"/>
                    <a:cs typeface="+mn-cs"/>
                  </a:defRPr>
                </a:pPr>
                <a:fld id="{5F173D5B-2E68-41F2-99C8-075EE3E7A2EE}" type="CELLRANGE">
                  <a:rPr lang="en-US"/>
                  <a:pPr>
                    <a:defRPr sz="8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gradFill>
            <a:gsLst>
              <a:gs pos="9000">
                <a:schemeClr val="accent1">
                  <a:lumMod val="40000"/>
                  <a:lumOff val="60000"/>
                </a:schemeClr>
              </a:gs>
              <a:gs pos="25883">
                <a:srgbClr val="DCE4F4"/>
              </a:gs>
              <a:gs pos="16650">
                <a:srgbClr val="E5EBF7"/>
              </a:gs>
              <a:gs pos="8621">
                <a:srgbClr val="E5EBF7"/>
              </a:gs>
              <a:gs pos="25000">
                <a:schemeClr val="accent1">
                  <a:lumMod val="5000"/>
                  <a:lumOff val="95000"/>
                </a:schemeClr>
              </a:gs>
              <a:gs pos="74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bg1"/>
                    </a:solidFill>
                    <a:latin typeface="+mn-lt"/>
                    <a:ea typeface="+mn-ea"/>
                    <a:cs typeface="+mn-cs"/>
                  </a:defRPr>
                </a:pPr>
                <a:fld id="{768F399D-413F-407F-82A6-9AC66894C7DC}" type="CELLRANGE">
                  <a:rPr lang="en-US"/>
                  <a:pPr>
                    <a:defRPr sz="8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4.1666666666666664E-2"/>
          <c:y val="7.1136897361514018E-2"/>
          <c:w val="0.74233322834645687"/>
          <c:h val="0.86269926785467588"/>
        </c:manualLayout>
      </c:layout>
      <c:barChart>
        <c:barDir val="bar"/>
        <c:grouping val="clustered"/>
        <c:varyColors val="0"/>
        <c:ser>
          <c:idx val="0"/>
          <c:order val="0"/>
          <c:tx>
            <c:strRef>
              <c:f>'Pivot report'!$B$25</c:f>
              <c:strCache>
                <c:ptCount val="1"/>
                <c:pt idx="0">
                  <c:v>Count of Patient Admission Flag</c:v>
                </c:pt>
              </c:strCache>
            </c:strRef>
          </c:tx>
          <c:spPr>
            <a:gradFill>
              <a:gsLst>
                <a:gs pos="9000">
                  <a:schemeClr val="accent1">
                    <a:lumMod val="40000"/>
                    <a:lumOff val="60000"/>
                  </a:schemeClr>
                </a:gs>
                <a:gs pos="25883">
                  <a:srgbClr val="DCE4F4"/>
                </a:gs>
                <a:gs pos="16650">
                  <a:srgbClr val="E5EBF7"/>
                </a:gs>
                <a:gs pos="8621">
                  <a:srgbClr val="E5EBF7"/>
                </a:gs>
                <a:gs pos="25000">
                  <a:schemeClr val="accent1">
                    <a:lumMod val="5000"/>
                    <a:lumOff val="95000"/>
                  </a:schemeClr>
                </a:gs>
                <a:gs pos="74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Pt>
            <c:idx val="0"/>
            <c:invertIfNegative val="0"/>
            <c:bubble3D val="0"/>
            <c:extLst>
              <c:ext xmlns:c16="http://schemas.microsoft.com/office/drawing/2014/chart" uri="{C3380CC4-5D6E-409C-BE32-E72D297353CC}">
                <c16:uniqueId val="{00000000-52D4-444C-A9B5-DAE19B985C12}"/>
              </c:ext>
            </c:extLst>
          </c:dPt>
          <c:dPt>
            <c:idx val="1"/>
            <c:invertIfNegative val="0"/>
            <c:bubble3D val="0"/>
            <c:extLst>
              <c:ext xmlns:c16="http://schemas.microsoft.com/office/drawing/2014/chart" uri="{C3380CC4-5D6E-409C-BE32-E72D297353CC}">
                <c16:uniqueId val="{00000001-52D4-444C-A9B5-DAE19B985C12}"/>
              </c:ext>
            </c:extLst>
          </c:dPt>
          <c:dLbls>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bg1"/>
                        </a:solidFill>
                        <a:latin typeface="+mn-lt"/>
                        <a:ea typeface="+mn-ea"/>
                        <a:cs typeface="+mn-cs"/>
                      </a:defRPr>
                    </a:pPr>
                    <a:fld id="{5F173D5B-2E68-41F2-99C8-075EE3E7A2EE}" type="CELLRANGE">
                      <a:rPr lang="en-US"/>
                      <a:pPr>
                        <a:defRPr sz="8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0-52D4-444C-A9B5-DAE19B985C12}"/>
                </c:ext>
              </c:extLst>
            </c:dLbl>
            <c:dLbl>
              <c:idx val="1"/>
              <c:tx>
                <c:rich>
                  <a:bodyPr rot="0" spcFirstLastPara="1" vertOverflow="ellipsis" vert="horz" wrap="none" lIns="38100" tIns="19050" rIns="38100" bIns="19050" anchor="ctr" anchorCtr="1">
                    <a:spAutoFit/>
                  </a:bodyPr>
                  <a:lstStyle/>
                  <a:p>
                    <a:pPr>
                      <a:defRPr sz="800" b="0" i="0" u="none" strike="noStrike" kern="1200" baseline="0">
                        <a:solidFill>
                          <a:schemeClr val="bg1"/>
                        </a:solidFill>
                        <a:latin typeface="+mn-lt"/>
                        <a:ea typeface="+mn-ea"/>
                        <a:cs typeface="+mn-cs"/>
                      </a:defRPr>
                    </a:pPr>
                    <a:fld id="{768F399D-413F-407F-82A6-9AC66894C7DC}" type="CELLRANGE">
                      <a:rPr lang="en-US"/>
                      <a:pPr>
                        <a:defRPr sz="800" b="0" i="0" u="none" strike="noStrike" kern="1200" baseline="0">
                          <a:solidFill>
                            <a:schemeClr val="bg1"/>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1-52D4-444C-A9B5-DAE19B985C12}"/>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report'!$A$26:$A$28</c:f>
              <c:strCache>
                <c:ptCount val="2"/>
                <c:pt idx="0">
                  <c:v>Admitted</c:v>
                </c:pt>
                <c:pt idx="1">
                  <c:v>Not Admitted</c:v>
                </c:pt>
              </c:strCache>
            </c:strRef>
          </c:cat>
          <c:val>
            <c:numRef>
              <c:f>'Pivot report'!$B$26:$B$28</c:f>
              <c:numCache>
                <c:formatCode>0</c:formatCode>
                <c:ptCount val="2"/>
                <c:pt idx="0">
                  <c:v>266</c:v>
                </c:pt>
                <c:pt idx="1">
                  <c:v>253</c:v>
                </c:pt>
              </c:numCache>
            </c:numRef>
          </c:val>
          <c:extLst>
            <c:ext xmlns:c16="http://schemas.microsoft.com/office/drawing/2014/chart" uri="{C3380CC4-5D6E-409C-BE32-E72D297353CC}">
              <c16:uniqueId val="{00000009-5750-41B6-BBB4-F9ABCF2E81CD}"/>
            </c:ext>
          </c:extLst>
        </c:ser>
        <c:ser>
          <c:idx val="1"/>
          <c:order val="1"/>
          <c:tx>
            <c:strRef>
              <c:f>'Pivot report'!$C$25</c:f>
              <c:strCache>
                <c:ptCount val="1"/>
                <c:pt idx="0">
                  <c:v>Count of Patient Admission Flag2</c:v>
                </c:pt>
              </c:strCache>
            </c:strRef>
          </c:tx>
          <c:spPr>
            <a:solidFill>
              <a:schemeClr val="accent2"/>
            </a:solidFill>
            <a:ln>
              <a:noFill/>
            </a:ln>
            <a:effectLst/>
          </c:spPr>
          <c:invertIfNegative val="0"/>
          <c:cat>
            <c:strRef>
              <c:f>'Pivot report'!$A$26:$A$28</c:f>
              <c:strCache>
                <c:ptCount val="2"/>
                <c:pt idx="0">
                  <c:v>Admitted</c:v>
                </c:pt>
                <c:pt idx="1">
                  <c:v>Not Admitted</c:v>
                </c:pt>
              </c:strCache>
            </c:strRef>
          </c:cat>
          <c:val>
            <c:numRef>
              <c:f>'Pivot report'!$C$26:$C$28</c:f>
              <c:numCache>
                <c:formatCode>0.00%</c:formatCode>
                <c:ptCount val="2"/>
                <c:pt idx="0">
                  <c:v>0.51252408477842004</c:v>
                </c:pt>
                <c:pt idx="1">
                  <c:v>0.48747591522157996</c:v>
                </c:pt>
              </c:numCache>
            </c:numRef>
          </c:val>
          <c:extLst>
            <c:ext xmlns:c16="http://schemas.microsoft.com/office/drawing/2014/chart" uri="{C3380CC4-5D6E-409C-BE32-E72D297353CC}">
              <c16:uniqueId val="{0000000A-5750-41B6-BBB4-F9ABCF2E81CD}"/>
            </c:ext>
          </c:extLst>
        </c:ser>
        <c:dLbls>
          <c:showLegendKey val="0"/>
          <c:showVal val="0"/>
          <c:showCatName val="0"/>
          <c:showSerName val="0"/>
          <c:showPercent val="0"/>
          <c:showBubbleSize val="0"/>
        </c:dLbls>
        <c:gapWidth val="0"/>
        <c:axId val="1758339743"/>
        <c:axId val="1083568399"/>
      </c:barChart>
      <c:catAx>
        <c:axId val="1758339743"/>
        <c:scaling>
          <c:orientation val="minMax"/>
        </c:scaling>
        <c:delete val="1"/>
        <c:axPos val="l"/>
        <c:numFmt formatCode="General" sourceLinked="1"/>
        <c:majorTickMark val="none"/>
        <c:minorTickMark val="none"/>
        <c:tickLblPos val="nextTo"/>
        <c:crossAx val="1083568399"/>
        <c:crosses val="autoZero"/>
        <c:auto val="1"/>
        <c:lblAlgn val="ctr"/>
        <c:lblOffset val="100"/>
        <c:noMultiLvlLbl val="0"/>
      </c:catAx>
      <c:valAx>
        <c:axId val="1083568399"/>
        <c:scaling>
          <c:orientation val="minMax"/>
        </c:scaling>
        <c:delete val="1"/>
        <c:axPos val="b"/>
        <c:numFmt formatCode="0" sourceLinked="1"/>
        <c:majorTickMark val="none"/>
        <c:minorTickMark val="none"/>
        <c:tickLblPos val="nextTo"/>
        <c:crossAx val="175833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31059640082552E-2"/>
          <c:y val="0"/>
          <c:w val="0.76741682331444794"/>
          <c:h val="0.77733194808982209"/>
        </c:manualLayout>
      </c:layout>
      <c:areaChart>
        <c:grouping val="standard"/>
        <c:varyColors val="0"/>
        <c:ser>
          <c:idx val="0"/>
          <c:order val="0"/>
          <c:tx>
            <c:strRef>
              <c:f>'Pivot report'!$E$6</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cat>
            <c:strRef>
              <c:f>'Pivot report'!$D$7:$D$38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report'!$E$7:$E$38</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3-EDF0-471A-BD05-3FC9C991CC49}"/>
            </c:ext>
          </c:extLst>
        </c:ser>
        <c:dLbls>
          <c:showLegendKey val="0"/>
          <c:showVal val="0"/>
          <c:showCatName val="0"/>
          <c:showSerName val="0"/>
          <c:showPercent val="0"/>
          <c:showBubbleSize val="0"/>
        </c:dLbls>
        <c:axId val="508324480"/>
        <c:axId val="67899983"/>
      </c:areaChart>
      <c:catAx>
        <c:axId val="508324480"/>
        <c:scaling>
          <c:orientation val="minMax"/>
        </c:scaling>
        <c:delete val="1"/>
        <c:axPos val="b"/>
        <c:numFmt formatCode="General" sourceLinked="1"/>
        <c:majorTickMark val="out"/>
        <c:minorTickMark val="none"/>
        <c:tickLblPos val="nextTo"/>
        <c:crossAx val="67899983"/>
        <c:crosses val="autoZero"/>
        <c:auto val="1"/>
        <c:lblAlgn val="ctr"/>
        <c:lblOffset val="100"/>
        <c:noMultiLvlLbl val="0"/>
      </c:catAx>
      <c:valAx>
        <c:axId val="67899983"/>
        <c:scaling>
          <c:orientation val="minMax"/>
        </c:scaling>
        <c:delete val="1"/>
        <c:axPos val="l"/>
        <c:numFmt formatCode="General" sourceLinked="1"/>
        <c:majorTickMark val="none"/>
        <c:minorTickMark val="none"/>
        <c:tickLblPos val="nextTo"/>
        <c:crossAx val="508324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report'!$H$6</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cat>
            <c:strRef>
              <c:f>'Pivot report'!$G$7:$G$38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report'!$H$7:$H$38</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3-0245-4178-9C6D-266C76448FA8}"/>
            </c:ext>
          </c:extLst>
        </c:ser>
        <c:dLbls>
          <c:showLegendKey val="0"/>
          <c:showVal val="0"/>
          <c:showCatName val="0"/>
          <c:showSerName val="0"/>
          <c:showPercent val="0"/>
          <c:showBubbleSize val="0"/>
        </c:dLbls>
        <c:axId val="209255695"/>
        <c:axId val="80193231"/>
      </c:areaChart>
      <c:catAx>
        <c:axId val="209255695"/>
        <c:scaling>
          <c:orientation val="minMax"/>
        </c:scaling>
        <c:delete val="1"/>
        <c:axPos val="b"/>
        <c:numFmt formatCode="General" sourceLinked="1"/>
        <c:majorTickMark val="out"/>
        <c:minorTickMark val="none"/>
        <c:tickLblPos val="nextTo"/>
        <c:crossAx val="80193231"/>
        <c:crosses val="autoZero"/>
        <c:auto val="1"/>
        <c:lblAlgn val="ctr"/>
        <c:lblOffset val="100"/>
        <c:noMultiLvlLbl val="0"/>
      </c:catAx>
      <c:valAx>
        <c:axId val="80193231"/>
        <c:scaling>
          <c:orientation val="minMax"/>
        </c:scaling>
        <c:delete val="1"/>
        <c:axPos val="l"/>
        <c:numFmt formatCode="0.00" sourceLinked="1"/>
        <c:majorTickMark val="none"/>
        <c:minorTickMark val="none"/>
        <c:tickLblPos val="nextTo"/>
        <c:crossAx val="209255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report'!$K$6</c:f>
              <c:strCache>
                <c:ptCount val="1"/>
                <c:pt idx="0">
                  <c:v>Total</c:v>
                </c:pt>
              </c:strCache>
            </c:strRef>
          </c:tx>
          <c:spPr>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cat>
            <c:strRef>
              <c:f>'Pivot report'!$J$7:$J$38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report'!$K$7:$K$38</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3-13B3-467E-8F0A-78C8CC4DAFAB}"/>
            </c:ext>
          </c:extLst>
        </c:ser>
        <c:dLbls>
          <c:showLegendKey val="0"/>
          <c:showVal val="0"/>
          <c:showCatName val="0"/>
          <c:showSerName val="0"/>
          <c:showPercent val="0"/>
          <c:showBubbleSize val="0"/>
        </c:dLbls>
        <c:axId val="209230639"/>
        <c:axId val="784288271"/>
      </c:areaChart>
      <c:catAx>
        <c:axId val="209230639"/>
        <c:scaling>
          <c:orientation val="minMax"/>
        </c:scaling>
        <c:delete val="1"/>
        <c:axPos val="b"/>
        <c:numFmt formatCode="General" sourceLinked="1"/>
        <c:majorTickMark val="out"/>
        <c:minorTickMark val="none"/>
        <c:tickLblPos val="nextTo"/>
        <c:crossAx val="784288271"/>
        <c:crosses val="autoZero"/>
        <c:auto val="1"/>
        <c:lblAlgn val="ctr"/>
        <c:lblOffset val="100"/>
        <c:noMultiLvlLbl val="0"/>
      </c:catAx>
      <c:valAx>
        <c:axId val="784288271"/>
        <c:scaling>
          <c:orientation val="minMax"/>
        </c:scaling>
        <c:delete val="1"/>
        <c:axPos val="l"/>
        <c:numFmt formatCode="0.00" sourceLinked="1"/>
        <c:majorTickMark val="none"/>
        <c:minorTickMark val="none"/>
        <c:tickLblPos val="nextTo"/>
        <c:crossAx val="2092306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'Pivot report'!$B$6</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F9E-4ED3-9E6F-FBF263FE428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F9E-4ED3-9E6F-FBF263FE428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report'!$A$7:$A$9</c:f>
              <c:strCache>
                <c:ptCount val="2"/>
                <c:pt idx="0">
                  <c:v>Delay</c:v>
                </c:pt>
                <c:pt idx="1">
                  <c:v>Ontime</c:v>
                </c:pt>
              </c:strCache>
            </c:strRef>
          </c:cat>
          <c:val>
            <c:numRef>
              <c:f>'Pivot report'!$B$7:$B$9</c:f>
              <c:numCache>
                <c:formatCode>0.00</c:formatCode>
                <c:ptCount val="2"/>
                <c:pt idx="0">
                  <c:v>324</c:v>
                </c:pt>
                <c:pt idx="1">
                  <c:v>195</c:v>
                </c:pt>
              </c:numCache>
            </c:numRef>
          </c:val>
          <c:extLst>
            <c:ext xmlns:c16="http://schemas.microsoft.com/office/drawing/2014/chart" uri="{C3380CC4-5D6E-409C-BE32-E72D297353CC}">
              <c16:uniqueId val="{00000007-F6FF-4FA7-A53F-021ABFC9719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638674934025612"/>
          <c:y val="0.24815029700234839"/>
          <c:w val="0.26293004222685684"/>
          <c:h val="0.3220874189795578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6852367688022288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54815432193539E-2"/>
          <c:y val="4.1322314049586778E-2"/>
          <c:w val="0.53353892044831441"/>
          <c:h val="0.79148955554109457"/>
        </c:manualLayout>
      </c:layout>
      <c:doughnutChart>
        <c:varyColors val="1"/>
        <c:ser>
          <c:idx val="0"/>
          <c:order val="0"/>
          <c:tx>
            <c:strRef>
              <c:f>'Pivot report'!$B$19</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617-4094-992B-B5CA0E9FF7E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617-4094-992B-B5CA0E9FF7E1}"/>
              </c:ext>
            </c:extLst>
          </c:dPt>
          <c:dLbls>
            <c:dLbl>
              <c:idx val="1"/>
              <c:layout>
                <c:manualLayout>
                  <c:x val="6.68523676880222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17-4094-992B-B5CA0E9FF7E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report'!$A$20:$A$22</c:f>
              <c:strCache>
                <c:ptCount val="2"/>
                <c:pt idx="0">
                  <c:v>Female</c:v>
                </c:pt>
                <c:pt idx="1">
                  <c:v>Male</c:v>
                </c:pt>
              </c:strCache>
            </c:strRef>
          </c:cat>
          <c:val>
            <c:numRef>
              <c:f>'Pivot report'!$B$20:$B$22</c:f>
              <c:numCache>
                <c:formatCode>0.00</c:formatCode>
                <c:ptCount val="2"/>
                <c:pt idx="0">
                  <c:v>254</c:v>
                </c:pt>
                <c:pt idx="1">
                  <c:v>265</c:v>
                </c:pt>
              </c:numCache>
            </c:numRef>
          </c:val>
          <c:extLst>
            <c:ext xmlns:c16="http://schemas.microsoft.com/office/drawing/2014/chart" uri="{C3380CC4-5D6E-409C-BE32-E72D297353CC}">
              <c16:uniqueId val="{00000007-22C1-4309-8CB7-C4E46E22AA4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5433641129120701"/>
          <c:y val="0.3243788637990499"/>
          <c:w val="0.27123868918591992"/>
          <c:h val="0.3139581327436437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a:noFill/>
          </a:ln>
          <a:effectLst/>
        </c:spPr>
      </c:pivotFmt>
      <c:pivotFmt>
        <c:idx val="20"/>
        <c:spPr>
          <a:pattFill prst="ltUpDiag">
            <a:fgClr>
              <a:schemeClr val="accent1"/>
            </a:fgClr>
            <a:bgClr>
              <a:schemeClr val="lt1"/>
            </a:bgClr>
          </a:pattFill>
          <a:ln>
            <a:noFill/>
          </a:ln>
          <a:effectLst/>
        </c:spPr>
      </c:pivotFmt>
      <c:pivotFmt>
        <c:idx val="21"/>
        <c:spPr>
          <a:pattFill prst="ltUpDiag">
            <a:fgClr>
              <a:schemeClr val="accent1"/>
            </a:fgClr>
            <a:bgClr>
              <a:schemeClr val="lt1"/>
            </a:bgClr>
          </a:pattFill>
          <a:ln>
            <a:noFill/>
          </a:ln>
          <a:effectLst/>
        </c:spPr>
      </c:pivotFmt>
      <c:pivotFmt>
        <c:idx val="22"/>
        <c:spPr>
          <a:pattFill prst="ltUpDiag">
            <a:fgClr>
              <a:schemeClr val="accent1"/>
            </a:fgClr>
            <a:bgClr>
              <a:schemeClr val="lt1"/>
            </a:bgClr>
          </a:pattFill>
          <a:ln>
            <a:noFill/>
          </a:ln>
          <a:effectLst/>
        </c:spPr>
      </c:pivotFmt>
      <c:pivotFmt>
        <c:idx val="23"/>
        <c:spPr>
          <a:pattFill prst="ltUpDiag">
            <a:fgClr>
              <a:schemeClr val="accent1"/>
            </a:fgClr>
            <a:bgClr>
              <a:schemeClr val="lt1"/>
            </a:bgClr>
          </a:pattFill>
          <a:ln>
            <a:noFill/>
          </a:ln>
          <a:effectLst/>
        </c:spPr>
      </c:pivotFmt>
      <c:pivotFmt>
        <c:idx val="24"/>
        <c:spPr>
          <a:pattFill prst="ltUpDiag">
            <a:fgClr>
              <a:schemeClr val="accent1"/>
            </a:fgClr>
            <a:bgClr>
              <a:schemeClr val="lt1"/>
            </a:bgClr>
          </a:pattFill>
          <a:ln>
            <a:noFill/>
          </a:ln>
          <a:effectLst/>
        </c:spPr>
      </c:pivotFmt>
      <c:pivotFmt>
        <c:idx val="25"/>
        <c:spPr>
          <a:pattFill prst="ltUpDiag">
            <a:fgClr>
              <a:schemeClr val="accent1"/>
            </a:fgClr>
            <a:bgClr>
              <a:schemeClr val="lt1"/>
            </a:bgClr>
          </a:pattFill>
          <a:ln>
            <a:noFill/>
          </a:ln>
          <a:effectLst/>
        </c:spPr>
      </c:pivotFmt>
      <c:pivotFmt>
        <c:idx val="26"/>
        <c:spPr>
          <a:pattFill prst="ltUpDiag">
            <a:fgClr>
              <a:schemeClr val="accent1"/>
            </a:fgClr>
            <a:bgClr>
              <a:schemeClr val="lt1"/>
            </a:bgClr>
          </a:pattFill>
          <a:ln>
            <a:noFill/>
          </a:ln>
          <a:effectLst/>
        </c:spPr>
      </c:pivotFmt>
    </c:pivotFmts>
    <c:plotArea>
      <c:layout>
        <c:manualLayout>
          <c:layoutTarget val="inner"/>
          <c:xMode val="edge"/>
          <c:yMode val="edge"/>
          <c:x val="3.5325913795667026E-2"/>
          <c:y val="0"/>
          <c:w val="0.92934817240866596"/>
          <c:h val="0.75416175633192617"/>
        </c:manualLayout>
      </c:layout>
      <c:barChart>
        <c:barDir val="col"/>
        <c:grouping val="clustered"/>
        <c:varyColors val="0"/>
        <c:ser>
          <c:idx val="0"/>
          <c:order val="0"/>
          <c:tx>
            <c:strRef>
              <c:f>'Pivot report'!$G$39</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report'!$F$40:$F$48</c:f>
              <c:strCache>
                <c:ptCount val="8"/>
                <c:pt idx="0">
                  <c:v>0-9</c:v>
                </c:pt>
                <c:pt idx="1">
                  <c:v>10-19</c:v>
                </c:pt>
                <c:pt idx="2">
                  <c:v>20-29</c:v>
                </c:pt>
                <c:pt idx="3">
                  <c:v>30-39</c:v>
                </c:pt>
                <c:pt idx="4">
                  <c:v>40-49</c:v>
                </c:pt>
                <c:pt idx="5">
                  <c:v>50-59</c:v>
                </c:pt>
                <c:pt idx="6">
                  <c:v>60-69</c:v>
                </c:pt>
                <c:pt idx="7">
                  <c:v>70-79</c:v>
                </c:pt>
              </c:strCache>
            </c:strRef>
          </c:cat>
          <c:val>
            <c:numRef>
              <c:f>'Pivot report'!$G$40:$G$48</c:f>
              <c:numCache>
                <c:formatCode>0.00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C-C096-4CE2-BE75-F832C3BC04D3}"/>
            </c:ext>
          </c:extLst>
        </c:ser>
        <c:dLbls>
          <c:dLblPos val="outEnd"/>
          <c:showLegendKey val="0"/>
          <c:showVal val="1"/>
          <c:showCatName val="0"/>
          <c:showSerName val="0"/>
          <c:showPercent val="0"/>
          <c:showBubbleSize val="0"/>
        </c:dLbls>
        <c:gapWidth val="269"/>
        <c:overlap val="-20"/>
        <c:axId val="1086519279"/>
        <c:axId val="1083563599"/>
      </c:barChart>
      <c:catAx>
        <c:axId val="1086519279"/>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083563599"/>
        <c:crosses val="autoZero"/>
        <c:auto val="1"/>
        <c:lblAlgn val="ctr"/>
        <c:lblOffset val="100"/>
        <c:noMultiLvlLbl val="0"/>
      </c:catAx>
      <c:valAx>
        <c:axId val="1083563599"/>
        <c:scaling>
          <c:orientation val="minMax"/>
        </c:scaling>
        <c:delete val="1"/>
        <c:axPos val="l"/>
        <c:numFmt formatCode="0.00" sourceLinked="1"/>
        <c:majorTickMark val="none"/>
        <c:minorTickMark val="none"/>
        <c:tickLblPos val="nextTo"/>
        <c:crossAx val="10865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000">
                <a:schemeClr val="accent1">
                  <a:lumMod val="37000"/>
                  <a:lumOff val="63000"/>
                </a:schemeClr>
              </a:gs>
              <a:gs pos="25883">
                <a:srgbClr val="DCE4F4"/>
              </a:gs>
              <a:gs pos="16650">
                <a:srgbClr val="E5EBF7"/>
              </a:gs>
              <a:gs pos="8621">
                <a:srgbClr val="E5EBF7"/>
              </a:gs>
              <a:gs pos="65000">
                <a:schemeClr val="accent1">
                  <a:lumMod val="5000"/>
                  <a:lumOff val="95000"/>
                </a:schemeClr>
              </a:gs>
              <a:gs pos="74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80402449693789"/>
          <c:y val="5.6647393171714307E-2"/>
          <c:w val="0.75008486439195099"/>
          <c:h val="0.87537573502222854"/>
        </c:manualLayout>
      </c:layout>
      <c:barChart>
        <c:barDir val="bar"/>
        <c:grouping val="clustered"/>
        <c:varyColors val="0"/>
        <c:ser>
          <c:idx val="0"/>
          <c:order val="0"/>
          <c:tx>
            <c:strRef>
              <c:f>'Pivot report'!$B$43</c:f>
              <c:strCache>
                <c:ptCount val="1"/>
                <c:pt idx="0">
                  <c:v>Total</c:v>
                </c:pt>
              </c:strCache>
            </c:strRef>
          </c:tx>
          <c:spPr>
            <a:gradFill>
              <a:gsLst>
                <a:gs pos="9000">
                  <a:schemeClr val="accent1">
                    <a:lumMod val="37000"/>
                    <a:lumOff val="63000"/>
                  </a:schemeClr>
                </a:gs>
                <a:gs pos="25883">
                  <a:srgbClr val="DCE4F4"/>
                </a:gs>
                <a:gs pos="16650">
                  <a:srgbClr val="E5EBF7"/>
                </a:gs>
                <a:gs pos="8621">
                  <a:srgbClr val="E5EBF7"/>
                </a:gs>
                <a:gs pos="65000">
                  <a:schemeClr val="accent1">
                    <a:lumMod val="5000"/>
                    <a:lumOff val="95000"/>
                  </a:schemeClr>
                </a:gs>
                <a:gs pos="74000">
                  <a:schemeClr val="accent1">
                    <a:lumMod val="60000"/>
                    <a:lumOff val="40000"/>
                  </a:schemeClr>
                </a:gs>
                <a:gs pos="83000">
                  <a:schemeClr val="accent1">
                    <a:lumMod val="45000"/>
                    <a:lumOff val="55000"/>
                  </a:schemeClr>
                </a:gs>
                <a:gs pos="100000">
                  <a:schemeClr val="accent1">
                    <a:lumMod val="30000"/>
                    <a:lumOff val="70000"/>
                  </a:schemeClr>
                </a:gs>
              </a:gsLst>
              <a:lin ang="5400000" scaled="1"/>
            </a:gradFill>
            <a:ln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report'!$A$44:$A$52</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report'!$B$44:$B$52</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4-C7CE-4165-A4DA-9C2A456E5392}"/>
            </c:ext>
          </c:extLst>
        </c:ser>
        <c:dLbls>
          <c:dLblPos val="outEnd"/>
          <c:showLegendKey val="0"/>
          <c:showVal val="1"/>
          <c:showCatName val="0"/>
          <c:showSerName val="0"/>
          <c:showPercent val="0"/>
          <c:showBubbleSize val="0"/>
        </c:dLbls>
        <c:gapWidth val="100"/>
        <c:axId val="1086493759"/>
        <c:axId val="1083603919"/>
      </c:barChart>
      <c:catAx>
        <c:axId val="108649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083603919"/>
        <c:crosses val="autoZero"/>
        <c:auto val="1"/>
        <c:lblAlgn val="ctr"/>
        <c:lblOffset val="100"/>
        <c:noMultiLvlLbl val="0"/>
      </c:catAx>
      <c:valAx>
        <c:axId val="1083603919"/>
        <c:scaling>
          <c:orientation val="minMax"/>
        </c:scaling>
        <c:delete val="1"/>
        <c:axPos val="b"/>
        <c:numFmt formatCode="0" sourceLinked="1"/>
        <c:majorTickMark val="none"/>
        <c:minorTickMark val="none"/>
        <c:tickLblPos val="nextTo"/>
        <c:crossAx val="10864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31059640082552E-2"/>
          <c:y val="0"/>
          <c:w val="0.85422817556820418"/>
          <c:h val="0.77733194808982209"/>
        </c:manualLayout>
      </c:layout>
      <c:areaChart>
        <c:grouping val="standard"/>
        <c:varyColors val="0"/>
        <c:ser>
          <c:idx val="0"/>
          <c:order val="0"/>
          <c:tx>
            <c:strRef>
              <c:f>'Pivot report'!$E$6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report'!$D$7:$D$38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report'!$E$7:$E$38</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2-114C-4518-BD16-09FB4E54E612}"/>
            </c:ext>
          </c:extLst>
        </c:ser>
        <c:dLbls>
          <c:showLegendKey val="0"/>
          <c:showVal val="1"/>
          <c:showCatName val="0"/>
          <c:showSerName val="0"/>
          <c:showPercent val="0"/>
          <c:showBubbleSize val="0"/>
        </c:dLbls>
        <c:axId val="508324480"/>
        <c:axId val="67899983"/>
      </c:areaChart>
      <c:catAx>
        <c:axId val="50832448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899983"/>
        <c:crosses val="autoZero"/>
        <c:auto val="1"/>
        <c:lblAlgn val="ctr"/>
        <c:lblOffset val="100"/>
        <c:noMultiLvlLbl val="0"/>
      </c:catAx>
      <c:valAx>
        <c:axId val="67899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324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429288049176619E-2"/>
          <c:y val="7.7417582417582412E-2"/>
          <c:w val="0.94627594627594624"/>
          <c:h val="0.74446006749156346"/>
        </c:manualLayout>
      </c:layout>
      <c:areaChart>
        <c:grouping val="standard"/>
        <c:varyColors val="0"/>
        <c:ser>
          <c:idx val="0"/>
          <c:order val="0"/>
          <c:tx>
            <c:strRef>
              <c:f>'Pivot report'!$H$6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report'!$G$7:$G$38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report'!$H$7:$H$38</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2-8006-4F32-98D7-64B5992C40A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255695"/>
        <c:axId val="80193231"/>
      </c:areaChart>
      <c:catAx>
        <c:axId val="2092556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193231"/>
        <c:crosses val="autoZero"/>
        <c:auto val="1"/>
        <c:lblAlgn val="ctr"/>
        <c:lblOffset val="100"/>
        <c:noMultiLvlLbl val="0"/>
      </c:catAx>
      <c:valAx>
        <c:axId val="80193231"/>
        <c:scaling>
          <c:orientation val="minMax"/>
        </c:scaling>
        <c:delete val="1"/>
        <c:axPos val="l"/>
        <c:numFmt formatCode="0.00" sourceLinked="1"/>
        <c:majorTickMark val="out"/>
        <c:minorTickMark val="none"/>
        <c:tickLblPos val="nextTo"/>
        <c:crossAx val="209255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44027252760388E-2"/>
          <c:y val="8.7445652173913049E-2"/>
          <c:w val="0.93613157226314447"/>
          <c:h val="0.71094402601848672"/>
        </c:manualLayout>
      </c:layout>
      <c:areaChart>
        <c:grouping val="standard"/>
        <c:varyColors val="0"/>
        <c:ser>
          <c:idx val="0"/>
          <c:order val="0"/>
          <c:tx>
            <c:strRef>
              <c:f>'Pivot report'!$K$6</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report'!$J$7:$J$38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report'!$K$7:$K$38</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2-7974-456F-BDFC-BC28C6538D4D}"/>
            </c:ext>
          </c:extLst>
        </c:ser>
        <c:dLbls>
          <c:showLegendKey val="0"/>
          <c:showVal val="1"/>
          <c:showCatName val="0"/>
          <c:showSerName val="0"/>
          <c:showPercent val="0"/>
          <c:showBubbleSize val="0"/>
        </c:dLbls>
        <c:axId val="209230639"/>
        <c:axId val="784288271"/>
      </c:areaChart>
      <c:catAx>
        <c:axId val="209230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88271"/>
        <c:crosses val="autoZero"/>
        <c:auto val="1"/>
        <c:lblAlgn val="ctr"/>
        <c:lblOffset val="100"/>
        <c:noMultiLvlLbl val="0"/>
      </c:catAx>
      <c:valAx>
        <c:axId val="784288271"/>
        <c:scaling>
          <c:orientation val="minMax"/>
        </c:scaling>
        <c:delete val="1"/>
        <c:axPos val="l"/>
        <c:numFmt formatCode="0.00" sourceLinked="1"/>
        <c:majorTickMark val="none"/>
        <c:minorTickMark val="none"/>
        <c:tickLblPos val="nextTo"/>
        <c:crossAx val="2092306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5.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4.xml"/><Relationship Id="rId17" Type="http://schemas.openxmlformats.org/officeDocument/2006/relationships/chart" Target="../charts/chart7.xml"/><Relationship Id="rId2" Type="http://schemas.microsoft.com/office/2007/relationships/hdphoto" Target="../media/hdphoto1.wdp"/><Relationship Id="rId16" Type="http://schemas.openxmlformats.org/officeDocument/2006/relationships/image" Target="../media/image9.emf"/><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2.xml"/><Relationship Id="rId4" Type="http://schemas.openxmlformats.org/officeDocument/2006/relationships/image" Target="../media/image3.svg"/><Relationship Id="rId9" Type="http://schemas.openxmlformats.org/officeDocument/2006/relationships/hyperlink" Target="#'Daily Trends'!A1"/><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44450</xdr:colOff>
      <xdr:row>38</xdr:row>
      <xdr:rowOff>177800</xdr:rowOff>
    </xdr:from>
    <xdr:to>
      <xdr:col>3</xdr:col>
      <xdr:colOff>1631950</xdr:colOff>
      <xdr:row>40</xdr:row>
      <xdr:rowOff>171450</xdr:rowOff>
    </xdr:to>
    <xdr:graphicFrame macro="">
      <xdr:nvGraphicFramePr>
        <xdr:cNvPr id="4" name="Chart 3">
          <a:extLst>
            <a:ext uri="{FF2B5EF4-FFF2-40B4-BE49-F238E27FC236}">
              <a16:creationId xmlns:a16="http://schemas.microsoft.com/office/drawing/2014/main" id="{26199297-C1D8-089A-4453-B6D91BCA1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50800</xdr:colOff>
      <xdr:row>0</xdr:row>
      <xdr:rowOff>88900</xdr:rowOff>
    </xdr:from>
    <xdr:to>
      <xdr:col>6</xdr:col>
      <xdr:colOff>444500</xdr:colOff>
      <xdr:row>3</xdr:row>
      <xdr:rowOff>177800</xdr:rowOff>
    </xdr:to>
    <xdr:sp macro="" textlink="">
      <xdr:nvSpPr>
        <xdr:cNvPr id="2" name="Rectangle: Rounded Corners 1">
          <a:extLst>
            <a:ext uri="{FF2B5EF4-FFF2-40B4-BE49-F238E27FC236}">
              <a16:creationId xmlns:a16="http://schemas.microsoft.com/office/drawing/2014/main" id="{CF3CDB2F-417D-D398-0706-97FDBF32B3AD}"/>
            </a:ext>
          </a:extLst>
        </xdr:cNvPr>
        <xdr:cNvSpPr/>
      </xdr:nvSpPr>
      <xdr:spPr>
        <a:xfrm>
          <a:off x="50800" y="88900"/>
          <a:ext cx="4051300"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501650</xdr:colOff>
      <xdr:row>0</xdr:row>
      <xdr:rowOff>101600</xdr:rowOff>
    </xdr:from>
    <xdr:to>
      <xdr:col>9</xdr:col>
      <xdr:colOff>31750</xdr:colOff>
      <xdr:row>4</xdr:row>
      <xdr:rowOff>6350</xdr:rowOff>
    </xdr:to>
    <xdr:sp macro="" textlink="">
      <xdr:nvSpPr>
        <xdr:cNvPr id="3" name="Rectangle: Rounded Corners 2">
          <a:extLst>
            <a:ext uri="{FF2B5EF4-FFF2-40B4-BE49-F238E27FC236}">
              <a16:creationId xmlns:a16="http://schemas.microsoft.com/office/drawing/2014/main" id="{03F02AD3-C087-9B30-6AF2-ED139C133F2D}"/>
            </a:ext>
          </a:extLst>
        </xdr:cNvPr>
        <xdr:cNvSpPr/>
      </xdr:nvSpPr>
      <xdr:spPr>
        <a:xfrm>
          <a:off x="4159250" y="101600"/>
          <a:ext cx="1358900"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533400</xdr:colOff>
      <xdr:row>13</xdr:row>
      <xdr:rowOff>158750</xdr:rowOff>
    </xdr:from>
    <xdr:to>
      <xdr:col>5</xdr:col>
      <xdr:colOff>228600</xdr:colOff>
      <xdr:row>22</xdr:row>
      <xdr:rowOff>57150</xdr:rowOff>
    </xdr:to>
    <xdr:sp macro="" textlink="">
      <xdr:nvSpPr>
        <xdr:cNvPr id="4" name="Rectangle: Rounded Corners 3">
          <a:extLst>
            <a:ext uri="{FF2B5EF4-FFF2-40B4-BE49-F238E27FC236}">
              <a16:creationId xmlns:a16="http://schemas.microsoft.com/office/drawing/2014/main" id="{854851A9-9843-06D6-F18B-FDB0314B976F}"/>
            </a:ext>
          </a:extLst>
        </xdr:cNvPr>
        <xdr:cNvSpPr/>
      </xdr:nvSpPr>
      <xdr:spPr>
        <a:xfrm>
          <a:off x="1143000" y="2552700"/>
          <a:ext cx="2133600" cy="155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317500</xdr:colOff>
      <xdr:row>13</xdr:row>
      <xdr:rowOff>158750</xdr:rowOff>
    </xdr:from>
    <xdr:to>
      <xdr:col>8</xdr:col>
      <xdr:colOff>565150</xdr:colOff>
      <xdr:row>22</xdr:row>
      <xdr:rowOff>57150</xdr:rowOff>
    </xdr:to>
    <xdr:sp macro="" textlink="">
      <xdr:nvSpPr>
        <xdr:cNvPr id="5" name="Rectangle: Rounded Corners 4">
          <a:extLst>
            <a:ext uri="{FF2B5EF4-FFF2-40B4-BE49-F238E27FC236}">
              <a16:creationId xmlns:a16="http://schemas.microsoft.com/office/drawing/2014/main" id="{C4161E27-D98C-ECAE-076D-BC10C8962AD0}"/>
            </a:ext>
          </a:extLst>
        </xdr:cNvPr>
        <xdr:cNvSpPr/>
      </xdr:nvSpPr>
      <xdr:spPr>
        <a:xfrm>
          <a:off x="3365500" y="2552700"/>
          <a:ext cx="2076450" cy="155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44450</xdr:colOff>
      <xdr:row>4</xdr:row>
      <xdr:rowOff>69850</xdr:rowOff>
    </xdr:from>
    <xdr:to>
      <xdr:col>1</xdr:col>
      <xdr:colOff>431800</xdr:colOff>
      <xdr:row>22</xdr:row>
      <xdr:rowOff>107950</xdr:rowOff>
    </xdr:to>
    <xdr:sp macro="" textlink="">
      <xdr:nvSpPr>
        <xdr:cNvPr id="6" name="Rectangle: Rounded Corners 5">
          <a:extLst>
            <a:ext uri="{FF2B5EF4-FFF2-40B4-BE49-F238E27FC236}">
              <a16:creationId xmlns:a16="http://schemas.microsoft.com/office/drawing/2014/main" id="{F45B4AFD-BD7A-0C47-E544-0BE2B326F187}"/>
            </a:ext>
          </a:extLst>
        </xdr:cNvPr>
        <xdr:cNvSpPr/>
      </xdr:nvSpPr>
      <xdr:spPr>
        <a:xfrm>
          <a:off x="44450" y="806450"/>
          <a:ext cx="996950" cy="3352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495300</xdr:colOff>
      <xdr:row>4</xdr:row>
      <xdr:rowOff>114300</xdr:rowOff>
    </xdr:from>
    <xdr:to>
      <xdr:col>4</xdr:col>
      <xdr:colOff>19050</xdr:colOff>
      <xdr:row>9</xdr:row>
      <xdr:rowOff>82550</xdr:rowOff>
    </xdr:to>
    <xdr:sp macro="" textlink="">
      <xdr:nvSpPr>
        <xdr:cNvPr id="7" name="Rectangle: Rounded Corners 6">
          <a:extLst>
            <a:ext uri="{FF2B5EF4-FFF2-40B4-BE49-F238E27FC236}">
              <a16:creationId xmlns:a16="http://schemas.microsoft.com/office/drawing/2014/main" id="{4F7EB9FF-CA9F-B88E-311D-AA81940C4812}"/>
            </a:ext>
          </a:extLst>
        </xdr:cNvPr>
        <xdr:cNvSpPr/>
      </xdr:nvSpPr>
      <xdr:spPr>
        <a:xfrm>
          <a:off x="1104900" y="850900"/>
          <a:ext cx="1352550" cy="88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88900</xdr:colOff>
      <xdr:row>4</xdr:row>
      <xdr:rowOff>95250</xdr:rowOff>
    </xdr:from>
    <xdr:to>
      <xdr:col>6</xdr:col>
      <xdr:colOff>273050</xdr:colOff>
      <xdr:row>9</xdr:row>
      <xdr:rowOff>63500</xdr:rowOff>
    </xdr:to>
    <xdr:sp macro="" textlink="">
      <xdr:nvSpPr>
        <xdr:cNvPr id="8" name="Rectangle: Rounded Corners 7">
          <a:extLst>
            <a:ext uri="{FF2B5EF4-FFF2-40B4-BE49-F238E27FC236}">
              <a16:creationId xmlns:a16="http://schemas.microsoft.com/office/drawing/2014/main" id="{58A4A71F-9FF2-910F-32A2-150D68F50D32}"/>
            </a:ext>
          </a:extLst>
        </xdr:cNvPr>
        <xdr:cNvSpPr/>
      </xdr:nvSpPr>
      <xdr:spPr>
        <a:xfrm>
          <a:off x="2527300" y="831850"/>
          <a:ext cx="1403350" cy="88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349250</xdr:colOff>
      <xdr:row>4</xdr:row>
      <xdr:rowOff>107950</xdr:rowOff>
    </xdr:from>
    <xdr:to>
      <xdr:col>9</xdr:col>
      <xdr:colOff>31750</xdr:colOff>
      <xdr:row>9</xdr:row>
      <xdr:rowOff>76200</xdr:rowOff>
    </xdr:to>
    <xdr:sp macro="" textlink="">
      <xdr:nvSpPr>
        <xdr:cNvPr id="9" name="Rectangle: Rounded Corners 8">
          <a:extLst>
            <a:ext uri="{FF2B5EF4-FFF2-40B4-BE49-F238E27FC236}">
              <a16:creationId xmlns:a16="http://schemas.microsoft.com/office/drawing/2014/main" id="{7693808A-0461-6183-28E7-1A09010B0AC4}"/>
            </a:ext>
          </a:extLst>
        </xdr:cNvPr>
        <xdr:cNvSpPr/>
      </xdr:nvSpPr>
      <xdr:spPr>
        <a:xfrm>
          <a:off x="4006850" y="844550"/>
          <a:ext cx="1511300" cy="88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527050</xdr:colOff>
      <xdr:row>9</xdr:row>
      <xdr:rowOff>165100</xdr:rowOff>
    </xdr:from>
    <xdr:to>
      <xdr:col>9</xdr:col>
      <xdr:colOff>12700</xdr:colOff>
      <xdr:row>13</xdr:row>
      <xdr:rowOff>69850</xdr:rowOff>
    </xdr:to>
    <xdr:sp macro="" textlink="">
      <xdr:nvSpPr>
        <xdr:cNvPr id="10" name="Rectangle: Rounded Corners 9">
          <a:extLst>
            <a:ext uri="{FF2B5EF4-FFF2-40B4-BE49-F238E27FC236}">
              <a16:creationId xmlns:a16="http://schemas.microsoft.com/office/drawing/2014/main" id="{DE12667B-5FF5-11B7-FA04-16FD17883BA5}"/>
            </a:ext>
          </a:extLst>
        </xdr:cNvPr>
        <xdr:cNvSpPr/>
      </xdr:nvSpPr>
      <xdr:spPr>
        <a:xfrm>
          <a:off x="1136650" y="1822450"/>
          <a:ext cx="4362450"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107950</xdr:colOff>
      <xdr:row>0</xdr:row>
      <xdr:rowOff>127000</xdr:rowOff>
    </xdr:from>
    <xdr:to>
      <xdr:col>15</xdr:col>
      <xdr:colOff>527050</xdr:colOff>
      <xdr:row>10</xdr:row>
      <xdr:rowOff>171450</xdr:rowOff>
    </xdr:to>
    <xdr:sp macro="" textlink="">
      <xdr:nvSpPr>
        <xdr:cNvPr id="11" name="Rectangle: Rounded Corners 10">
          <a:extLst>
            <a:ext uri="{FF2B5EF4-FFF2-40B4-BE49-F238E27FC236}">
              <a16:creationId xmlns:a16="http://schemas.microsoft.com/office/drawing/2014/main" id="{6E3A6018-9C1B-822D-CEA8-ACB538610EFC}"/>
            </a:ext>
          </a:extLst>
        </xdr:cNvPr>
        <xdr:cNvSpPr/>
      </xdr:nvSpPr>
      <xdr:spPr>
        <a:xfrm>
          <a:off x="5594350" y="127000"/>
          <a:ext cx="4076700" cy="1885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101600</xdr:colOff>
      <xdr:row>11</xdr:row>
      <xdr:rowOff>57150</xdr:rowOff>
    </xdr:from>
    <xdr:to>
      <xdr:col>15</xdr:col>
      <xdr:colOff>508000</xdr:colOff>
      <xdr:row>22</xdr:row>
      <xdr:rowOff>69850</xdr:rowOff>
    </xdr:to>
    <xdr:sp macro="" textlink="">
      <xdr:nvSpPr>
        <xdr:cNvPr id="12" name="Rectangle: Rounded Corners 11">
          <a:extLst>
            <a:ext uri="{FF2B5EF4-FFF2-40B4-BE49-F238E27FC236}">
              <a16:creationId xmlns:a16="http://schemas.microsoft.com/office/drawing/2014/main" id="{BD403F60-CC13-BA23-5FA5-03C4BF2233F0}"/>
            </a:ext>
          </a:extLst>
        </xdr:cNvPr>
        <xdr:cNvSpPr/>
      </xdr:nvSpPr>
      <xdr:spPr>
        <a:xfrm>
          <a:off x="5588000" y="2082800"/>
          <a:ext cx="4064000" cy="2038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234950</xdr:colOff>
      <xdr:row>0</xdr:row>
      <xdr:rowOff>146050</xdr:rowOff>
    </xdr:from>
    <xdr:to>
      <xdr:col>6</xdr:col>
      <xdr:colOff>438150</xdr:colOff>
      <xdr:row>2</xdr:row>
      <xdr:rowOff>76200</xdr:rowOff>
    </xdr:to>
    <xdr:sp macro="" textlink="">
      <xdr:nvSpPr>
        <xdr:cNvPr id="13" name="TextBox 12">
          <a:extLst>
            <a:ext uri="{FF2B5EF4-FFF2-40B4-BE49-F238E27FC236}">
              <a16:creationId xmlns:a16="http://schemas.microsoft.com/office/drawing/2014/main" id="{690CAC5F-D3B9-C279-532B-315A1B7BB016}"/>
            </a:ext>
          </a:extLst>
        </xdr:cNvPr>
        <xdr:cNvSpPr txBox="1"/>
      </xdr:nvSpPr>
      <xdr:spPr>
        <a:xfrm>
          <a:off x="844550" y="146050"/>
          <a:ext cx="32512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chemeClr val="bg1"/>
              </a:solidFill>
            </a:rPr>
            <a:t>HOSPITAL EMERGENCY</a:t>
          </a:r>
          <a:r>
            <a:rPr lang="en-IN" sz="1400" b="1" baseline="0">
              <a:solidFill>
                <a:schemeClr val="bg1"/>
              </a:solidFill>
            </a:rPr>
            <a:t> ROOM DASHBOARD</a:t>
          </a:r>
          <a:endParaRPr lang="en-IN" sz="1400" b="1">
            <a:solidFill>
              <a:schemeClr val="bg1"/>
            </a:solidFill>
          </a:endParaRPr>
        </a:p>
      </xdr:txBody>
    </xdr:sp>
    <xdr:clientData/>
  </xdr:twoCellAnchor>
  <xdr:twoCellAnchor editAs="oneCell">
    <xdr:from>
      <xdr:col>0</xdr:col>
      <xdr:colOff>0</xdr:colOff>
      <xdr:row>0</xdr:row>
      <xdr:rowOff>50800</xdr:rowOff>
    </xdr:from>
    <xdr:to>
      <xdr:col>1</xdr:col>
      <xdr:colOff>266700</xdr:colOff>
      <xdr:row>3</xdr:row>
      <xdr:rowOff>171450</xdr:rowOff>
    </xdr:to>
    <xdr:pic>
      <xdr:nvPicPr>
        <xdr:cNvPr id="16" name="Picture 15">
          <a:extLst>
            <a:ext uri="{FF2B5EF4-FFF2-40B4-BE49-F238E27FC236}">
              <a16:creationId xmlns:a16="http://schemas.microsoft.com/office/drawing/2014/main" id="{50C8F7C1-1476-A5D2-64A4-4F3FEEDE66E2}"/>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l="20952" t="30698" r="20952" b="29767"/>
        <a:stretch>
          <a:fillRect/>
        </a:stretch>
      </xdr:blipFill>
      <xdr:spPr>
        <a:xfrm>
          <a:off x="0" y="50800"/>
          <a:ext cx="876300" cy="673100"/>
        </a:xfrm>
        <a:prstGeom prst="rect">
          <a:avLst/>
        </a:prstGeom>
      </xdr:spPr>
    </xdr:pic>
    <xdr:clientData/>
  </xdr:twoCellAnchor>
  <xdr:twoCellAnchor editAs="absolute">
    <xdr:from>
      <xdr:col>3</xdr:col>
      <xdr:colOff>50800</xdr:colOff>
      <xdr:row>2</xdr:row>
      <xdr:rowOff>25400</xdr:rowOff>
    </xdr:from>
    <xdr:to>
      <xdr:col>5</xdr:col>
      <xdr:colOff>44450</xdr:colOff>
      <xdr:row>3</xdr:row>
      <xdr:rowOff>139700</xdr:rowOff>
    </xdr:to>
    <xdr:sp macro="" textlink="">
      <xdr:nvSpPr>
        <xdr:cNvPr id="17" name="TextBox 16">
          <a:extLst>
            <a:ext uri="{FF2B5EF4-FFF2-40B4-BE49-F238E27FC236}">
              <a16:creationId xmlns:a16="http://schemas.microsoft.com/office/drawing/2014/main" id="{23623502-9ACD-54FB-7327-534D38D805B9}"/>
            </a:ext>
          </a:extLst>
        </xdr:cNvPr>
        <xdr:cNvSpPr txBox="1"/>
      </xdr:nvSpPr>
      <xdr:spPr>
        <a:xfrm>
          <a:off x="1879600" y="393700"/>
          <a:ext cx="12128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chemeClr val="bg1"/>
              </a:solidFill>
            </a:rPr>
            <a:t>Monthly</a:t>
          </a:r>
          <a:r>
            <a:rPr lang="en-IN" sz="1400" b="1" baseline="0">
              <a:solidFill>
                <a:schemeClr val="bg1"/>
              </a:solidFill>
            </a:rPr>
            <a:t> Report</a:t>
          </a:r>
          <a:endParaRPr lang="en-IN" sz="1400" b="1">
            <a:solidFill>
              <a:schemeClr val="bg1"/>
            </a:solidFill>
          </a:endParaRPr>
        </a:p>
      </xdr:txBody>
    </xdr:sp>
    <xdr:clientData/>
  </xdr:twoCellAnchor>
  <xdr:twoCellAnchor editAs="absolute">
    <xdr:from>
      <xdr:col>2</xdr:col>
      <xdr:colOff>120650</xdr:colOff>
      <xdr:row>6</xdr:row>
      <xdr:rowOff>12700</xdr:rowOff>
    </xdr:from>
    <xdr:to>
      <xdr:col>3</xdr:col>
      <xdr:colOff>488950</xdr:colOff>
      <xdr:row>7</xdr:row>
      <xdr:rowOff>127000</xdr:rowOff>
    </xdr:to>
    <xdr:sp macro="" textlink="">
      <xdr:nvSpPr>
        <xdr:cNvPr id="18" name="TextBox 17">
          <a:extLst>
            <a:ext uri="{FF2B5EF4-FFF2-40B4-BE49-F238E27FC236}">
              <a16:creationId xmlns:a16="http://schemas.microsoft.com/office/drawing/2014/main" id="{74640180-132B-E801-6ABB-E54533538A06}"/>
            </a:ext>
          </a:extLst>
        </xdr:cNvPr>
        <xdr:cNvSpPr txBox="1"/>
      </xdr:nvSpPr>
      <xdr:spPr>
        <a:xfrm>
          <a:off x="1339850" y="1117600"/>
          <a:ext cx="9779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baseline="0">
              <a:solidFill>
                <a:schemeClr val="bg1"/>
              </a:solidFill>
            </a:rPr>
            <a:t> </a:t>
          </a:r>
          <a:r>
            <a:rPr lang="en-IN" sz="1100" b="1" baseline="0">
              <a:solidFill>
                <a:schemeClr val="bg1"/>
              </a:solidFill>
            </a:rPr>
            <a:t>No. of Patient</a:t>
          </a:r>
          <a:endParaRPr lang="en-IN" sz="1400" b="1">
            <a:solidFill>
              <a:schemeClr val="bg1"/>
            </a:solidFill>
          </a:endParaRPr>
        </a:p>
      </xdr:txBody>
    </xdr:sp>
    <xdr:clientData/>
  </xdr:twoCellAnchor>
  <xdr:twoCellAnchor editAs="absolute">
    <xdr:from>
      <xdr:col>4</xdr:col>
      <xdr:colOff>234950</xdr:colOff>
      <xdr:row>6</xdr:row>
      <xdr:rowOff>25400</xdr:rowOff>
    </xdr:from>
    <xdr:to>
      <xdr:col>6</xdr:col>
      <xdr:colOff>292100</xdr:colOff>
      <xdr:row>7</xdr:row>
      <xdr:rowOff>139700</xdr:rowOff>
    </xdr:to>
    <xdr:sp macro="" textlink="">
      <xdr:nvSpPr>
        <xdr:cNvPr id="19" name="TextBox 18">
          <a:extLst>
            <a:ext uri="{FF2B5EF4-FFF2-40B4-BE49-F238E27FC236}">
              <a16:creationId xmlns:a16="http://schemas.microsoft.com/office/drawing/2014/main" id="{28DEB03A-5F26-EC3E-966E-DB804043BBC3}"/>
            </a:ext>
          </a:extLst>
        </xdr:cNvPr>
        <xdr:cNvSpPr txBox="1"/>
      </xdr:nvSpPr>
      <xdr:spPr>
        <a:xfrm>
          <a:off x="2673350" y="1130300"/>
          <a:ext cx="12763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bg1"/>
              </a:solidFill>
            </a:rPr>
            <a:t>Avg</a:t>
          </a:r>
          <a:r>
            <a:rPr lang="en-IN" sz="1200" b="1">
              <a:solidFill>
                <a:schemeClr val="bg1"/>
              </a:solidFill>
            </a:rPr>
            <a:t>.</a:t>
          </a:r>
          <a:r>
            <a:rPr lang="en-IN" sz="1200" b="1" baseline="0">
              <a:solidFill>
                <a:schemeClr val="bg1"/>
              </a:solidFill>
            </a:rPr>
            <a:t> </a:t>
          </a:r>
          <a:r>
            <a:rPr lang="en-IN" sz="1100" b="1" baseline="0">
              <a:solidFill>
                <a:schemeClr val="bg1"/>
              </a:solidFill>
            </a:rPr>
            <a:t>Wait</a:t>
          </a:r>
          <a:r>
            <a:rPr lang="en-IN" sz="1200" b="1" baseline="0">
              <a:solidFill>
                <a:schemeClr val="bg1"/>
              </a:solidFill>
            </a:rPr>
            <a:t> </a:t>
          </a:r>
          <a:r>
            <a:rPr lang="en-IN" sz="1100" b="1" baseline="0">
              <a:solidFill>
                <a:schemeClr val="bg1"/>
              </a:solidFill>
            </a:rPr>
            <a:t>Time(Min)</a:t>
          </a:r>
          <a:endParaRPr lang="en-IN" sz="1200" b="1">
            <a:solidFill>
              <a:schemeClr val="bg1"/>
            </a:solidFill>
          </a:endParaRPr>
        </a:p>
      </xdr:txBody>
    </xdr:sp>
    <xdr:clientData/>
  </xdr:twoCellAnchor>
  <xdr:twoCellAnchor editAs="absolute">
    <xdr:from>
      <xdr:col>6</xdr:col>
      <xdr:colOff>355600</xdr:colOff>
      <xdr:row>6</xdr:row>
      <xdr:rowOff>12700</xdr:rowOff>
    </xdr:from>
    <xdr:to>
      <xdr:col>9</xdr:col>
      <xdr:colOff>82550</xdr:colOff>
      <xdr:row>7</xdr:row>
      <xdr:rowOff>127000</xdr:rowOff>
    </xdr:to>
    <xdr:sp macro="" textlink="">
      <xdr:nvSpPr>
        <xdr:cNvPr id="20" name="TextBox 19">
          <a:extLst>
            <a:ext uri="{FF2B5EF4-FFF2-40B4-BE49-F238E27FC236}">
              <a16:creationId xmlns:a16="http://schemas.microsoft.com/office/drawing/2014/main" id="{802790FE-4342-4B40-7EC7-2738209A8DC3}"/>
            </a:ext>
          </a:extLst>
        </xdr:cNvPr>
        <xdr:cNvSpPr txBox="1"/>
      </xdr:nvSpPr>
      <xdr:spPr>
        <a:xfrm>
          <a:off x="4013200" y="1117600"/>
          <a:ext cx="15557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b="1" baseline="0">
              <a:solidFill>
                <a:schemeClr val="bg1"/>
              </a:solidFill>
            </a:rPr>
            <a:t>Patient Satisfication Score</a:t>
          </a:r>
          <a:endParaRPr lang="en-IN" sz="1100" b="1">
            <a:solidFill>
              <a:schemeClr val="bg1"/>
            </a:solidFill>
          </a:endParaRPr>
        </a:p>
      </xdr:txBody>
    </xdr:sp>
    <xdr:clientData/>
  </xdr:twoCellAnchor>
  <xdr:twoCellAnchor editAs="absolute">
    <xdr:from>
      <xdr:col>7</xdr:col>
      <xdr:colOff>184150</xdr:colOff>
      <xdr:row>0</xdr:row>
      <xdr:rowOff>165100</xdr:rowOff>
    </xdr:from>
    <xdr:to>
      <xdr:col>8</xdr:col>
      <xdr:colOff>488950</xdr:colOff>
      <xdr:row>2</xdr:row>
      <xdr:rowOff>95250</xdr:rowOff>
    </xdr:to>
    <xdr:sp macro="" textlink="">
      <xdr:nvSpPr>
        <xdr:cNvPr id="21" name="TextBox 20">
          <a:extLst>
            <a:ext uri="{FF2B5EF4-FFF2-40B4-BE49-F238E27FC236}">
              <a16:creationId xmlns:a16="http://schemas.microsoft.com/office/drawing/2014/main" id="{39CEE962-D2A1-C3EF-8EAC-271D7C882F04}"/>
            </a:ext>
          </a:extLst>
        </xdr:cNvPr>
        <xdr:cNvSpPr txBox="1"/>
      </xdr:nvSpPr>
      <xdr:spPr>
        <a:xfrm>
          <a:off x="4451350" y="165100"/>
          <a:ext cx="9144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chemeClr val="bg1"/>
              </a:solidFill>
            </a:rPr>
            <a:t>Select</a:t>
          </a:r>
          <a:r>
            <a:rPr lang="en-IN" sz="1400" b="1" baseline="0">
              <a:solidFill>
                <a:schemeClr val="bg1"/>
              </a:solidFill>
            </a:rPr>
            <a:t> Year</a:t>
          </a:r>
          <a:endParaRPr lang="en-IN" sz="1400" b="1">
            <a:solidFill>
              <a:schemeClr val="bg1"/>
            </a:solidFill>
          </a:endParaRPr>
        </a:p>
      </xdr:txBody>
    </xdr:sp>
    <xdr:clientData/>
  </xdr:twoCellAnchor>
  <xdr:twoCellAnchor editAs="absolute">
    <xdr:from>
      <xdr:col>7</xdr:col>
      <xdr:colOff>323850</xdr:colOff>
      <xdr:row>5</xdr:row>
      <xdr:rowOff>6350</xdr:rowOff>
    </xdr:from>
    <xdr:to>
      <xdr:col>8</xdr:col>
      <xdr:colOff>95250</xdr:colOff>
      <xdr:row>6</xdr:row>
      <xdr:rowOff>120650</xdr:rowOff>
    </xdr:to>
    <xdr:sp macro="" textlink="'Pivot report'!A17">
      <xdr:nvSpPr>
        <xdr:cNvPr id="22" name="TextBox 21">
          <a:extLst>
            <a:ext uri="{FF2B5EF4-FFF2-40B4-BE49-F238E27FC236}">
              <a16:creationId xmlns:a16="http://schemas.microsoft.com/office/drawing/2014/main" id="{8A435DAD-19EE-993A-BB4C-29A17FCC8435}"/>
            </a:ext>
          </a:extLst>
        </xdr:cNvPr>
        <xdr:cNvSpPr txBox="1"/>
      </xdr:nvSpPr>
      <xdr:spPr>
        <a:xfrm>
          <a:off x="4591050" y="927100"/>
          <a:ext cx="3810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06A4C4C-E741-4E65-8F75-F03801872608}" type="TxLink">
            <a:rPr lang="en-US" sz="1400" b="0" i="0" u="none" strike="noStrike" baseline="0">
              <a:solidFill>
                <a:schemeClr val="bg1"/>
              </a:solidFill>
              <a:latin typeface="Calibri"/>
              <a:ea typeface="Calibri"/>
              <a:cs typeface="Calibri"/>
            </a:rPr>
            <a:pPr/>
            <a:t>5.15</a:t>
          </a:fld>
          <a:endParaRPr lang="en-IN" sz="1800" b="1">
            <a:solidFill>
              <a:schemeClr val="bg1"/>
            </a:solidFill>
          </a:endParaRPr>
        </a:p>
      </xdr:txBody>
    </xdr:sp>
    <xdr:clientData/>
  </xdr:twoCellAnchor>
  <xdr:twoCellAnchor editAs="absolute">
    <xdr:from>
      <xdr:col>4</xdr:col>
      <xdr:colOff>596900</xdr:colOff>
      <xdr:row>5</xdr:row>
      <xdr:rowOff>6350</xdr:rowOff>
    </xdr:from>
    <xdr:to>
      <xdr:col>5</xdr:col>
      <xdr:colOff>469900</xdr:colOff>
      <xdr:row>6</xdr:row>
      <xdr:rowOff>120650</xdr:rowOff>
    </xdr:to>
    <xdr:sp macro="" textlink="'Pivot report'!A13">
      <xdr:nvSpPr>
        <xdr:cNvPr id="28" name="TextBox 27">
          <a:extLst>
            <a:ext uri="{FF2B5EF4-FFF2-40B4-BE49-F238E27FC236}">
              <a16:creationId xmlns:a16="http://schemas.microsoft.com/office/drawing/2014/main" id="{F98D23FF-0283-6D9E-915E-6B32B8F0BE86}"/>
            </a:ext>
          </a:extLst>
        </xdr:cNvPr>
        <xdr:cNvSpPr txBox="1"/>
      </xdr:nvSpPr>
      <xdr:spPr>
        <a:xfrm>
          <a:off x="3035300" y="927100"/>
          <a:ext cx="4826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494970E-DA9F-4D3D-976F-4906242AC502}" type="TxLink">
            <a:rPr lang="en-US" sz="1400" b="0" i="0" u="none" strike="noStrike" baseline="0">
              <a:solidFill>
                <a:schemeClr val="bg1"/>
              </a:solidFill>
              <a:latin typeface="Calibri"/>
              <a:ea typeface="Calibri"/>
              <a:cs typeface="Calibri"/>
            </a:rPr>
            <a:pPr/>
            <a:t>35.81</a:t>
          </a:fld>
          <a:endParaRPr lang="en-IN" sz="1800" b="1">
            <a:solidFill>
              <a:schemeClr val="bg1"/>
            </a:solidFill>
          </a:endParaRPr>
        </a:p>
      </xdr:txBody>
    </xdr:sp>
    <xdr:clientData/>
  </xdr:twoCellAnchor>
  <xdr:twoCellAnchor editAs="absolute">
    <xdr:from>
      <xdr:col>18</xdr:col>
      <xdr:colOff>0</xdr:colOff>
      <xdr:row>8</xdr:row>
      <xdr:rowOff>0</xdr:rowOff>
    </xdr:from>
    <xdr:to>
      <xdr:col>19</xdr:col>
      <xdr:colOff>603250</xdr:colOff>
      <xdr:row>9</xdr:row>
      <xdr:rowOff>114300</xdr:rowOff>
    </xdr:to>
    <xdr:sp macro="" textlink="">
      <xdr:nvSpPr>
        <xdr:cNvPr id="29" name="TextBox 28">
          <a:extLst>
            <a:ext uri="{FF2B5EF4-FFF2-40B4-BE49-F238E27FC236}">
              <a16:creationId xmlns:a16="http://schemas.microsoft.com/office/drawing/2014/main" id="{91E1ABDB-2901-4D44-852F-97BC6242ECDF}"/>
            </a:ext>
          </a:extLst>
        </xdr:cNvPr>
        <xdr:cNvSpPr txBox="1"/>
      </xdr:nvSpPr>
      <xdr:spPr>
        <a:xfrm>
          <a:off x="10972800" y="1473200"/>
          <a:ext cx="12128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400" b="1">
            <a:solidFill>
              <a:schemeClr val="bg1"/>
            </a:solidFill>
          </a:endParaRPr>
        </a:p>
      </xdr:txBody>
    </xdr:sp>
    <xdr:clientData/>
  </xdr:twoCellAnchor>
  <xdr:twoCellAnchor editAs="absolute">
    <xdr:from>
      <xdr:col>2</xdr:col>
      <xdr:colOff>381000</xdr:colOff>
      <xdr:row>5</xdr:row>
      <xdr:rowOff>25400</xdr:rowOff>
    </xdr:from>
    <xdr:to>
      <xdr:col>3</xdr:col>
      <xdr:colOff>241300</xdr:colOff>
      <xdr:row>6</xdr:row>
      <xdr:rowOff>139700</xdr:rowOff>
    </xdr:to>
    <xdr:sp macro="" textlink="'Pivot report'!A3">
      <xdr:nvSpPr>
        <xdr:cNvPr id="30" name="TextBox 29">
          <a:extLst>
            <a:ext uri="{FF2B5EF4-FFF2-40B4-BE49-F238E27FC236}">
              <a16:creationId xmlns:a16="http://schemas.microsoft.com/office/drawing/2014/main" id="{1403CE01-525A-02DE-CBAF-79F23C2A2828}"/>
            </a:ext>
          </a:extLst>
        </xdr:cNvPr>
        <xdr:cNvSpPr txBox="1"/>
      </xdr:nvSpPr>
      <xdr:spPr>
        <a:xfrm>
          <a:off x="1600200" y="946150"/>
          <a:ext cx="4699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765461A-0BD1-4708-AE7A-56DE5E57041D}" type="TxLink">
            <a:rPr lang="en-US" sz="1400" b="0" i="0" u="none" strike="noStrike">
              <a:solidFill>
                <a:schemeClr val="bg1"/>
              </a:solidFill>
              <a:latin typeface="Calibri"/>
              <a:ea typeface="Calibri"/>
              <a:cs typeface="Calibri"/>
            </a:rPr>
            <a:pPr/>
            <a:t>519</a:t>
          </a:fld>
          <a:endParaRPr lang="en-IN" sz="1800" b="1">
            <a:solidFill>
              <a:schemeClr val="bg1"/>
            </a:solidFill>
          </a:endParaRPr>
        </a:p>
      </xdr:txBody>
    </xdr:sp>
    <xdr:clientData/>
  </xdr:twoCellAnchor>
  <xdr:twoCellAnchor editAs="oneCell">
    <xdr:from>
      <xdr:col>1</xdr:col>
      <xdr:colOff>450850</xdr:colOff>
      <xdr:row>4</xdr:row>
      <xdr:rowOff>107950</xdr:rowOff>
    </xdr:from>
    <xdr:to>
      <xdr:col>2</xdr:col>
      <xdr:colOff>158750</xdr:colOff>
      <xdr:row>6</xdr:row>
      <xdr:rowOff>57150</xdr:rowOff>
    </xdr:to>
    <xdr:pic>
      <xdr:nvPicPr>
        <xdr:cNvPr id="32" name="Graphic 31" descr="User with solid fill">
          <a:extLst>
            <a:ext uri="{FF2B5EF4-FFF2-40B4-BE49-F238E27FC236}">
              <a16:creationId xmlns:a16="http://schemas.microsoft.com/office/drawing/2014/main" id="{50B56DC9-6CC4-5F13-A5B2-2B1A173DB2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0450" y="844550"/>
          <a:ext cx="317500" cy="317500"/>
        </a:xfrm>
        <a:prstGeom prst="rect">
          <a:avLst/>
        </a:prstGeom>
      </xdr:spPr>
    </xdr:pic>
    <xdr:clientData/>
  </xdr:twoCellAnchor>
  <xdr:twoCellAnchor editAs="oneCell">
    <xdr:from>
      <xdr:col>4</xdr:col>
      <xdr:colOff>107950</xdr:colOff>
      <xdr:row>4</xdr:row>
      <xdr:rowOff>114300</xdr:rowOff>
    </xdr:from>
    <xdr:to>
      <xdr:col>4</xdr:col>
      <xdr:colOff>419100</xdr:colOff>
      <xdr:row>6</xdr:row>
      <xdr:rowOff>57150</xdr:rowOff>
    </xdr:to>
    <xdr:pic>
      <xdr:nvPicPr>
        <xdr:cNvPr id="34" name="Graphic 33" descr="Hourglass Finished with solid fill">
          <a:extLst>
            <a:ext uri="{FF2B5EF4-FFF2-40B4-BE49-F238E27FC236}">
              <a16:creationId xmlns:a16="http://schemas.microsoft.com/office/drawing/2014/main" id="{6ACB6A5D-BCAB-C4A0-BF98-4228C4DFDC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46350" y="850900"/>
          <a:ext cx="311150" cy="311150"/>
        </a:xfrm>
        <a:prstGeom prst="rect">
          <a:avLst/>
        </a:prstGeom>
      </xdr:spPr>
    </xdr:pic>
    <xdr:clientData/>
  </xdr:twoCellAnchor>
  <xdr:twoCellAnchor editAs="oneCell">
    <xdr:from>
      <xdr:col>6</xdr:col>
      <xdr:colOff>361950</xdr:colOff>
      <xdr:row>4</xdr:row>
      <xdr:rowOff>107950</xdr:rowOff>
    </xdr:from>
    <xdr:to>
      <xdr:col>7</xdr:col>
      <xdr:colOff>63500</xdr:colOff>
      <xdr:row>6</xdr:row>
      <xdr:rowOff>50800</xdr:rowOff>
    </xdr:to>
    <xdr:pic>
      <xdr:nvPicPr>
        <xdr:cNvPr id="36" name="Graphic 35" descr="Customer review with solid fill">
          <a:extLst>
            <a:ext uri="{FF2B5EF4-FFF2-40B4-BE49-F238E27FC236}">
              <a16:creationId xmlns:a16="http://schemas.microsoft.com/office/drawing/2014/main" id="{6F4B2B10-E1B9-5D99-722A-E06A2F6FB5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19550" y="844550"/>
          <a:ext cx="311150" cy="311150"/>
        </a:xfrm>
        <a:prstGeom prst="rect">
          <a:avLst/>
        </a:prstGeom>
      </xdr:spPr>
    </xdr:pic>
    <xdr:clientData/>
  </xdr:twoCellAnchor>
  <xdr:twoCellAnchor editAs="oneCell">
    <xdr:from>
      <xdr:col>0</xdr:col>
      <xdr:colOff>152400</xdr:colOff>
      <xdr:row>4</xdr:row>
      <xdr:rowOff>165100</xdr:rowOff>
    </xdr:from>
    <xdr:to>
      <xdr:col>1</xdr:col>
      <xdr:colOff>290250</xdr:colOff>
      <xdr:row>22</xdr:row>
      <xdr:rowOff>25400</xdr:rowOff>
    </xdr:to>
    <mc:AlternateContent xmlns:mc="http://schemas.openxmlformats.org/markup-compatibility/2006" xmlns:a14="http://schemas.microsoft.com/office/drawing/2010/main">
      <mc:Choice Requires="a14">
        <xdr:graphicFrame macro="">
          <xdr:nvGraphicFramePr>
            <xdr:cNvPr id="37" name="Date (Month)">
              <a:extLst>
                <a:ext uri="{FF2B5EF4-FFF2-40B4-BE49-F238E27FC236}">
                  <a16:creationId xmlns:a16="http://schemas.microsoft.com/office/drawing/2014/main" id="{FAAE37ED-F540-458F-B74C-E2A957A7AB0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2400" y="901700"/>
              <a:ext cx="747450" cy="317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431800</xdr:colOff>
      <xdr:row>6</xdr:row>
      <xdr:rowOff>171450</xdr:rowOff>
    </xdr:from>
    <xdr:to>
      <xdr:col>4</xdr:col>
      <xdr:colOff>215900</xdr:colOff>
      <xdr:row>9</xdr:row>
      <xdr:rowOff>133350</xdr:rowOff>
    </xdr:to>
    <xdr:graphicFrame macro="">
      <xdr:nvGraphicFramePr>
        <xdr:cNvPr id="38" name="Chart 37">
          <a:hlinkClick xmlns:r="http://schemas.openxmlformats.org/officeDocument/2006/relationships" r:id="rId9"/>
          <a:extLst>
            <a:ext uri="{FF2B5EF4-FFF2-40B4-BE49-F238E27FC236}">
              <a16:creationId xmlns:a16="http://schemas.microsoft.com/office/drawing/2014/main" id="{23A243F3-7799-452F-BA26-C367D0A79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50800</xdr:colOff>
      <xdr:row>6</xdr:row>
      <xdr:rowOff>25400</xdr:rowOff>
    </xdr:from>
    <xdr:to>
      <xdr:col>6</xdr:col>
      <xdr:colOff>342900</xdr:colOff>
      <xdr:row>9</xdr:row>
      <xdr:rowOff>152400</xdr:rowOff>
    </xdr:to>
    <xdr:graphicFrame macro="">
      <xdr:nvGraphicFramePr>
        <xdr:cNvPr id="14" name="Chart 13">
          <a:hlinkClick xmlns:r="http://schemas.openxmlformats.org/officeDocument/2006/relationships" r:id="rId9"/>
          <a:extLst>
            <a:ext uri="{FF2B5EF4-FFF2-40B4-BE49-F238E27FC236}">
              <a16:creationId xmlns:a16="http://schemas.microsoft.com/office/drawing/2014/main" id="{3755ED9D-8E4A-467F-B57F-5865E54B1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273050</xdr:colOff>
      <xdr:row>5</xdr:row>
      <xdr:rowOff>171450</xdr:rowOff>
    </xdr:from>
    <xdr:to>
      <xdr:col>9</xdr:col>
      <xdr:colOff>120650</xdr:colOff>
      <xdr:row>9</xdr:row>
      <xdr:rowOff>139700</xdr:rowOff>
    </xdr:to>
    <xdr:graphicFrame macro="">
      <xdr:nvGraphicFramePr>
        <xdr:cNvPr id="15" name="Chart 14">
          <a:hlinkClick xmlns:r="http://schemas.openxmlformats.org/officeDocument/2006/relationships" r:id="rId9"/>
          <a:extLst>
            <a:ext uri="{FF2B5EF4-FFF2-40B4-BE49-F238E27FC236}">
              <a16:creationId xmlns:a16="http://schemas.microsoft.com/office/drawing/2014/main" id="{F6A26A34-99C3-4891-8677-922E08D61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539750</xdr:colOff>
      <xdr:row>13</xdr:row>
      <xdr:rowOff>31750</xdr:rowOff>
    </xdr:from>
    <xdr:to>
      <xdr:col>5</xdr:col>
      <xdr:colOff>431800</xdr:colOff>
      <xdr:row>21</xdr:row>
      <xdr:rowOff>6350</xdr:rowOff>
    </xdr:to>
    <xdr:graphicFrame macro="">
      <xdr:nvGraphicFramePr>
        <xdr:cNvPr id="24" name="Chart 23">
          <a:extLst>
            <a:ext uri="{FF2B5EF4-FFF2-40B4-BE49-F238E27FC236}">
              <a16:creationId xmlns:a16="http://schemas.microsoft.com/office/drawing/2014/main" id="{4C6C9C93-B8A2-4CDD-B927-BEBEB509B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xdr:col>
      <xdr:colOff>63500</xdr:colOff>
      <xdr:row>20</xdr:row>
      <xdr:rowOff>101600</xdr:rowOff>
    </xdr:from>
    <xdr:to>
      <xdr:col>5</xdr:col>
      <xdr:colOff>171450</xdr:colOff>
      <xdr:row>22</xdr:row>
      <xdr:rowOff>31750</xdr:rowOff>
    </xdr:to>
    <xdr:sp macro="" textlink="">
      <xdr:nvSpPr>
        <xdr:cNvPr id="27" name="TextBox 26">
          <a:extLst>
            <a:ext uri="{FF2B5EF4-FFF2-40B4-BE49-F238E27FC236}">
              <a16:creationId xmlns:a16="http://schemas.microsoft.com/office/drawing/2014/main" id="{6EAC7A78-7834-6995-04BB-B133B0ED7849}"/>
            </a:ext>
          </a:extLst>
        </xdr:cNvPr>
        <xdr:cNvSpPr txBox="1"/>
      </xdr:nvSpPr>
      <xdr:spPr>
        <a:xfrm>
          <a:off x="1282700" y="3784600"/>
          <a:ext cx="19367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baseline="0">
              <a:solidFill>
                <a:schemeClr val="bg1"/>
              </a:solidFill>
            </a:rPr>
            <a:t> </a:t>
          </a:r>
          <a:r>
            <a:rPr lang="en-IN" sz="1100" b="1" baseline="0">
              <a:solidFill>
                <a:schemeClr val="bg1"/>
              </a:solidFill>
            </a:rPr>
            <a:t>Patients Attended within Time</a:t>
          </a:r>
          <a:endParaRPr lang="en-IN" sz="1400" b="1">
            <a:solidFill>
              <a:schemeClr val="bg1"/>
            </a:solidFill>
          </a:endParaRPr>
        </a:p>
      </xdr:txBody>
    </xdr:sp>
    <xdr:clientData/>
  </xdr:twoCellAnchor>
  <xdr:twoCellAnchor>
    <xdr:from>
      <xdr:col>5</xdr:col>
      <xdr:colOff>254000</xdr:colOff>
      <xdr:row>13</xdr:row>
      <xdr:rowOff>165100</xdr:rowOff>
    </xdr:from>
    <xdr:to>
      <xdr:col>9</xdr:col>
      <xdr:colOff>95250</xdr:colOff>
      <xdr:row>22</xdr:row>
      <xdr:rowOff>44450</xdr:rowOff>
    </xdr:to>
    <xdr:graphicFrame macro="">
      <xdr:nvGraphicFramePr>
        <xdr:cNvPr id="31" name="Chart 30">
          <a:extLst>
            <a:ext uri="{FF2B5EF4-FFF2-40B4-BE49-F238E27FC236}">
              <a16:creationId xmlns:a16="http://schemas.microsoft.com/office/drawing/2014/main" id="{4D795CB7-56BC-42DF-A1E3-F348BB69F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5</xdr:col>
      <xdr:colOff>571500</xdr:colOff>
      <xdr:row>20</xdr:row>
      <xdr:rowOff>158750</xdr:rowOff>
    </xdr:from>
    <xdr:to>
      <xdr:col>9</xdr:col>
      <xdr:colOff>69850</xdr:colOff>
      <xdr:row>22</xdr:row>
      <xdr:rowOff>88900</xdr:rowOff>
    </xdr:to>
    <xdr:sp macro="" textlink="">
      <xdr:nvSpPr>
        <xdr:cNvPr id="33" name="TextBox 32">
          <a:extLst>
            <a:ext uri="{FF2B5EF4-FFF2-40B4-BE49-F238E27FC236}">
              <a16:creationId xmlns:a16="http://schemas.microsoft.com/office/drawing/2014/main" id="{90CD076D-F5A2-0CC8-ADFE-879436C3E1CB}"/>
            </a:ext>
          </a:extLst>
        </xdr:cNvPr>
        <xdr:cNvSpPr txBox="1"/>
      </xdr:nvSpPr>
      <xdr:spPr>
        <a:xfrm>
          <a:off x="3619500" y="3841750"/>
          <a:ext cx="19367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baseline="0">
              <a:solidFill>
                <a:schemeClr val="bg1"/>
              </a:solidFill>
            </a:rPr>
            <a:t> </a:t>
          </a:r>
          <a:r>
            <a:rPr lang="en-IN" sz="1100" b="1" baseline="0">
              <a:solidFill>
                <a:schemeClr val="bg1"/>
              </a:solidFill>
            </a:rPr>
            <a:t> No. of Patients by Gender</a:t>
          </a:r>
          <a:endParaRPr lang="en-IN" sz="1400" b="1">
            <a:solidFill>
              <a:schemeClr val="bg1"/>
            </a:solidFill>
          </a:endParaRPr>
        </a:p>
      </xdr:txBody>
    </xdr:sp>
    <xdr:clientData/>
  </xdr:twoCellAnchor>
  <xdr:twoCellAnchor editAs="oneCell">
    <xdr:from>
      <xdr:col>18</xdr:col>
      <xdr:colOff>0</xdr:colOff>
      <xdr:row>7</xdr:row>
      <xdr:rowOff>0</xdr:rowOff>
    </xdr:from>
    <xdr:to>
      <xdr:col>19</xdr:col>
      <xdr:colOff>571500</xdr:colOff>
      <xdr:row>8</xdr:row>
      <xdr:rowOff>6350</xdr:rowOff>
    </xdr:to>
    <xdr:pic>
      <xdr:nvPicPr>
        <xdr:cNvPr id="35" name="Picture 34">
          <a:extLst>
            <a:ext uri="{FF2B5EF4-FFF2-40B4-BE49-F238E27FC236}">
              <a16:creationId xmlns:a16="http://schemas.microsoft.com/office/drawing/2014/main" id="{203FBB44-A767-6812-FB18-B9A52E7A5B4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972800" y="1289050"/>
          <a:ext cx="11811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515545</xdr:colOff>
          <xdr:row>10</xdr:row>
          <xdr:rowOff>15488</xdr:rowOff>
        </xdr:from>
        <xdr:to>
          <xdr:col>8</xdr:col>
          <xdr:colOff>565841</xdr:colOff>
          <xdr:row>13</xdr:row>
          <xdr:rowOff>21838</xdr:rowOff>
        </xdr:to>
        <xdr:pic>
          <xdr:nvPicPr>
            <xdr:cNvPr id="47" name="Picture 46">
              <a:extLst>
                <a:ext uri="{FF2B5EF4-FFF2-40B4-BE49-F238E27FC236}">
                  <a16:creationId xmlns:a16="http://schemas.microsoft.com/office/drawing/2014/main" id="{2D1F9169-5C95-4944-80C7-D271A4A6658B}"/>
                </a:ext>
              </a:extLst>
            </xdr:cNvPr>
            <xdr:cNvPicPr>
              <a:picLocks noChangeAspect="1" noChangeArrowheads="1"/>
              <a:extLst>
                <a:ext uri="{84589F7E-364E-4C9E-8A38-B11213B215E9}">
                  <a14:cameraTool cellRange="'Pivot report'!$A$39:$D$41" spid="_x0000_s1045"/>
                </a:ext>
              </a:extLst>
            </xdr:cNvPicPr>
          </xdr:nvPicPr>
          <xdr:blipFill>
            <a:blip xmlns:r="http://schemas.openxmlformats.org/officeDocument/2006/relationships" r:embed="rId16"/>
            <a:srcRect/>
            <a:stretch>
              <a:fillRect/>
            </a:stretch>
          </xdr:blipFill>
          <xdr:spPr bwMode="auto">
            <a:xfrm>
              <a:off x="1125396" y="1838755"/>
              <a:ext cx="4319257" cy="5533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201188</xdr:colOff>
      <xdr:row>0</xdr:row>
      <xdr:rowOff>144605</xdr:rowOff>
    </xdr:from>
    <xdr:to>
      <xdr:col>15</xdr:col>
      <xdr:colOff>496683</xdr:colOff>
      <xdr:row>10</xdr:row>
      <xdr:rowOff>88020</xdr:rowOff>
    </xdr:to>
    <xdr:graphicFrame macro="">
      <xdr:nvGraphicFramePr>
        <xdr:cNvPr id="49" name="Chart 48">
          <a:extLst>
            <a:ext uri="{FF2B5EF4-FFF2-40B4-BE49-F238E27FC236}">
              <a16:creationId xmlns:a16="http://schemas.microsoft.com/office/drawing/2014/main" id="{8C1E549E-ED6E-4CAA-869C-37B21C3E4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10</xdr:col>
      <xdr:colOff>496683</xdr:colOff>
      <xdr:row>9</xdr:row>
      <xdr:rowOff>69159</xdr:rowOff>
    </xdr:from>
    <xdr:ext cx="2038828" cy="280205"/>
    <xdr:sp macro="" textlink="">
      <xdr:nvSpPr>
        <xdr:cNvPr id="50" name="TextBox 49">
          <a:extLst>
            <a:ext uri="{FF2B5EF4-FFF2-40B4-BE49-F238E27FC236}">
              <a16:creationId xmlns:a16="http://schemas.microsoft.com/office/drawing/2014/main" id="{882BCEB0-C6BB-B16D-0CF1-22615163AD4C}"/>
            </a:ext>
          </a:extLst>
        </xdr:cNvPr>
        <xdr:cNvSpPr txBox="1"/>
      </xdr:nvSpPr>
      <xdr:spPr>
        <a:xfrm>
          <a:off x="6587499" y="1702016"/>
          <a:ext cx="203882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No. of Patients by Age Group</a:t>
          </a:r>
        </a:p>
      </xdr:txBody>
    </xdr:sp>
    <xdr:clientData/>
  </xdr:oneCellAnchor>
  <xdr:twoCellAnchor>
    <xdr:from>
      <xdr:col>9</xdr:col>
      <xdr:colOff>161989</xdr:colOff>
      <xdr:row>11</xdr:row>
      <xdr:rowOff>149030</xdr:rowOff>
    </xdr:from>
    <xdr:to>
      <xdr:col>15</xdr:col>
      <xdr:colOff>395256</xdr:colOff>
      <xdr:row>21</xdr:row>
      <xdr:rowOff>19439</xdr:rowOff>
    </xdr:to>
    <xdr:graphicFrame macro="">
      <xdr:nvGraphicFramePr>
        <xdr:cNvPr id="52" name="Chart 51">
          <a:extLst>
            <a:ext uri="{FF2B5EF4-FFF2-40B4-BE49-F238E27FC236}">
              <a16:creationId xmlns:a16="http://schemas.microsoft.com/office/drawing/2014/main" id="{4668FF6B-BBF7-4679-AA06-344EF9761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10</xdr:col>
      <xdr:colOff>246225</xdr:colOff>
      <xdr:row>20</xdr:row>
      <xdr:rowOff>142551</xdr:rowOff>
    </xdr:from>
    <xdr:ext cx="2652714" cy="280205"/>
    <xdr:sp macro="" textlink="">
      <xdr:nvSpPr>
        <xdr:cNvPr id="53" name="TextBox 52">
          <a:extLst>
            <a:ext uri="{FF2B5EF4-FFF2-40B4-BE49-F238E27FC236}">
              <a16:creationId xmlns:a16="http://schemas.microsoft.com/office/drawing/2014/main" id="{51898709-28D7-F507-CB29-3AC3AB208118}"/>
            </a:ext>
          </a:extLst>
        </xdr:cNvPr>
        <xdr:cNvSpPr txBox="1"/>
      </xdr:nvSpPr>
      <xdr:spPr>
        <a:xfrm>
          <a:off x="6337041" y="3771122"/>
          <a:ext cx="265271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rPr>
            <a:t>No.of Patients by Department Referral</a:t>
          </a:r>
        </a:p>
      </xdr:txBody>
    </xdr:sp>
    <xdr:clientData/>
  </xdr:oneCellAnchor>
  <xdr:twoCellAnchor editAs="oneCell">
    <xdr:from>
      <xdr:col>6</xdr:col>
      <xdr:colOff>563724</xdr:colOff>
      <xdr:row>1</xdr:row>
      <xdr:rowOff>174947</xdr:rowOff>
    </xdr:from>
    <xdr:to>
      <xdr:col>8</xdr:col>
      <xdr:colOff>569561</xdr:colOff>
      <xdr:row>3</xdr:row>
      <xdr:rowOff>172090</xdr:rowOff>
    </xdr:to>
    <mc:AlternateContent xmlns:mc="http://schemas.openxmlformats.org/markup-compatibility/2006" xmlns:a14="http://schemas.microsoft.com/office/drawing/2010/main">
      <mc:Choice Requires="a14">
        <xdr:graphicFrame macro="">
          <xdr:nvGraphicFramePr>
            <xdr:cNvPr id="54" name="Date (Year)">
              <a:extLst>
                <a:ext uri="{FF2B5EF4-FFF2-40B4-BE49-F238E27FC236}">
                  <a16:creationId xmlns:a16="http://schemas.microsoft.com/office/drawing/2014/main" id="{7B7F67D6-C2F0-4B07-BD9A-CA67505005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218214" y="356376"/>
              <a:ext cx="1224000"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44450</xdr:colOff>
      <xdr:row>2</xdr:row>
      <xdr:rowOff>82550</xdr:rowOff>
    </xdr:from>
    <xdr:to>
      <xdr:col>7</xdr:col>
      <xdr:colOff>508000</xdr:colOff>
      <xdr:row>14</xdr:row>
      <xdr:rowOff>146050</xdr:rowOff>
    </xdr:to>
    <xdr:graphicFrame macro="">
      <xdr:nvGraphicFramePr>
        <xdr:cNvPr id="2" name="Chart 1">
          <a:extLst>
            <a:ext uri="{FF2B5EF4-FFF2-40B4-BE49-F238E27FC236}">
              <a16:creationId xmlns:a16="http://schemas.microsoft.com/office/drawing/2014/main" id="{A6F42EC8-4A12-4454-A5FC-DA92DC97F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17</xdr:row>
      <xdr:rowOff>19050</xdr:rowOff>
    </xdr:from>
    <xdr:to>
      <xdr:col>16</xdr:col>
      <xdr:colOff>6350</xdr:colOff>
      <xdr:row>29</xdr:row>
      <xdr:rowOff>120650</xdr:rowOff>
    </xdr:to>
    <xdr:graphicFrame macro="">
      <xdr:nvGraphicFramePr>
        <xdr:cNvPr id="3" name="Chart 2">
          <a:extLst>
            <a:ext uri="{FF2B5EF4-FFF2-40B4-BE49-F238E27FC236}">
              <a16:creationId xmlns:a16="http://schemas.microsoft.com/office/drawing/2014/main" id="{D2B213EE-66AB-4F27-835A-3C52EC8C6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xdr:row>
      <xdr:rowOff>25400</xdr:rowOff>
    </xdr:from>
    <xdr:to>
      <xdr:col>18</xdr:col>
      <xdr:colOff>596900</xdr:colOff>
      <xdr:row>14</xdr:row>
      <xdr:rowOff>152400</xdr:rowOff>
    </xdr:to>
    <xdr:graphicFrame macro="">
      <xdr:nvGraphicFramePr>
        <xdr:cNvPr id="4" name="Chart 3">
          <a:extLst>
            <a:ext uri="{FF2B5EF4-FFF2-40B4-BE49-F238E27FC236}">
              <a16:creationId xmlns:a16="http://schemas.microsoft.com/office/drawing/2014/main" id="{F5C96BC5-0840-46DE-87A0-0A4BD6B06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0.07785</cdr:x>
      <cdr:y>0.16201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4B01869-6CAB-7163-03F9-8022DFD1AD6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8300" cy="36830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0.05222</cdr:x>
      <cdr:y>0.21978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7F5B3FF-29DF-559E-0A24-0E728F542CE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08000" cy="508000"/>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0.07211</cdr:x>
      <cdr:y>0.20652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0D277B9-5E77-8EB0-ECDD-89276AAB0BC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82600" cy="4826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0231481" createdVersion="5" refreshedVersion="8" minRefreshableVersion="3" recordCount="0" supportSubquery="1" supportAdvancedDrill="1" xr:uid="{78198344-F479-4B1E-B6B1-B6D8A619D6F9}">
  <cacheSource type="external" connectionId="3"/>
  <cacheFields count="4">
    <cacheField name="[Measures].[Count of Patient Id]" caption="Count of Patient Id" numFmtId="0" hierarchy="23" level="32767"/>
    <cacheField name="[Calenda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0578704" createdVersion="5" refreshedVersion="8" minRefreshableVersion="3" recordCount="0" supportSubquery="1" supportAdvancedDrill="1" xr:uid="{774A7134-CE69-488B-BF29-8870CE07EB4A}">
  <cacheSource type="external" connectionId="3"/>
  <cacheFields count="3">
    <cacheField name="[Measures].[Count of Patient Id]" caption="Count of Patient Id" numFmtId="0" hierarchy="23"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0810188" createdVersion="5" refreshedVersion="8" minRefreshableVersion="3" recordCount="0" supportSubquery="1" supportAdvancedDrill="1" xr:uid="{58762B37-F576-4A7F-8101-F60516A0A7B4}">
  <cacheSource type="external" connectionId="3"/>
  <cacheFields count="3">
    <cacheField name="[Measures].[Average of Patient Waittime]" caption="Average of Patient Waittime" numFmtId="0" hierarchy="25"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1157404" createdVersion="5" refreshedVersion="8" minRefreshableVersion="3" recordCount="0" supportSubquery="1" supportAdvancedDrill="1" xr:uid="{3FBB4C1E-43F5-4AC7-8E7B-65C5D2E4E4C9}">
  <cacheSource type="external" connectionId="3"/>
  <cacheFields count="3">
    <cacheField name="[Measures].[Average of Patient Satisfaction Score]" caption="Average of Patient Satisfaction Score" numFmtId="0" hierarchy="27"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1736112" createdVersion="5" refreshedVersion="8" minRefreshableVersion="3" recordCount="0" supportSubquery="1" supportAdvancedDrill="1" xr:uid="{F3A47130-2359-4355-9531-8391C702F1D6}">
  <cacheSource type="external" connectionId="3"/>
  <cacheFields count="4">
    <cacheField name="[Measures].[Average of Patient Waittime]" caption="Average of Patient Waittime" numFmtId="0" hierarchy="25" level="32767"/>
    <cacheField name="[Calendar].[Date (Month)].[Date (Month)]" caption="Date (Month)" numFmtId="0" hierarchy="1" level="1">
      <sharedItems containsSemiMixedTypes="0" containsNonDate="0" containsString="0"/>
    </cacheField>
    <cacheField name="[Calenda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2"/>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2546297" createdVersion="5" refreshedVersion="8" minRefreshableVersion="3" recordCount="0" supportSubquery="1" supportAdvancedDrill="1" xr:uid="{26341523-3432-4F4C-ADFD-13DBA5E19513}">
  <cacheSource type="external" connectionId="3"/>
  <cacheFields count="4">
    <cacheField name="[Measures].[Average of Patient Satisfaction Score]" caption="Average of Patient Satisfaction Score" numFmtId="0" hierarchy="27" level="32767"/>
    <cacheField name="[Calendar].[Date (Month)].[Date (Month)]" caption="Date (Month)" numFmtId="0" hierarchy="1" level="1">
      <sharedItems containsSemiMixedTypes="0" containsNonDate="0" containsString="0"/>
    </cacheField>
    <cacheField name="[Calenda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2"/>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3009259" createdVersion="5" refreshedVersion="8" minRefreshableVersion="3" recordCount="0" supportSubquery="1" supportAdvancedDrill="1" xr:uid="{9C89EC2A-92BF-4C02-BB2B-CA0F31ADD5E6}">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358796" createdVersion="5" refreshedVersion="8" minRefreshableVersion="3" recordCount="0" supportSubquery="1" supportAdvancedDrill="1" xr:uid="{1399E51A-4480-4BA3-8AFA-BC07BCF1A0B7}">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Id]" caption="Count of Patient Id" numFmtId="0" hierarchy="23"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4282406" createdVersion="5" refreshedVersion="8" minRefreshableVersion="3" recordCount="0" supportSubquery="1" supportAdvancedDrill="1" xr:uid="{4AC76D90-47E0-49F4-80CE-9D2F5BC4ACE2}">
  <cacheSource type="external" connectionId="3"/>
  <cacheFields count="5">
    <cacheField name="[Calendar].[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Date (Year)].[Date (Year)]" caption="Date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4745368" createdVersion="5" refreshedVersion="8" minRefreshableVersion="3" recordCount="0" supportSubquery="1" supportAdvancedDrill="1" xr:uid="{3401BD5A-A1A1-42FC-8DF8-E73841783C93}">
  <cacheSource type="external" connectionId="3"/>
  <cacheFields count="4">
    <cacheField name="[Calendar].[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5439815" createdVersion="5" refreshedVersion="8" minRefreshableVersion="3" recordCount="0" supportSubquery="1" supportAdvancedDrill="1" xr:uid="{D5229A46-BB61-42E8-9EB8-369935F36492}">
  <cacheSource type="external" connectionId="3"/>
  <cacheFields count="4">
    <cacheField name="[Calenda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9456134261" createdVersion="5" refreshedVersion="8" minRefreshableVersion="3" recordCount="0" supportSubquery="1" supportAdvancedDrill="1" xr:uid="{799D8C20-5450-409C-A8A4-895C081EBA87}">
  <cacheSource type="external" connectionId="3"/>
  <cacheFields count="4">
    <cacheField name="[Calendar].[Date (Month)].[Date (Month)]" caption="Date (Month)" numFmtId="0" hierarchy="1" level="1">
      <sharedItems count="1">
        <s v="Jul"/>
      </sharedItems>
    </cacheField>
    <cacheField name="[Calendar].[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Date (Quarter)].[Date (Quarter)]" caption="Date (Quarter)" numFmtId="0" hierarchy="4" level="1">
      <sharedItems count="1">
        <s v="Qtr3"/>
      </sharedItems>
    </cacheField>
    <cacheField name="[Calendar].[Date (Year)].[Date (Year)]" caption="Date (Year)" numFmtId="0" hierarchy="3" level="1">
      <sharedItems count="1">
        <s v="2024"/>
      </sharedItems>
    </cacheField>
  </cacheFields>
  <cacheHierarchies count="32">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7.672595023148" createdVersion="3" refreshedVersion="8" minRefreshableVersion="3" recordCount="0" supportSubquery="1" supportAdvancedDrill="1" xr:uid="{06F9D66E-1D7A-4EC1-891D-9F2C9346A3D5}">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27860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11523-F961-484A-BB35-D6FEE552F92D}" name="PivotTable1" cacheId="1" applyNumberFormats="0" applyBorderFormats="0" applyFontFormats="0" applyPatternFormats="0" applyAlignmentFormats="0" applyWidthHeightFormats="1" dataCaption="Values" tag="233a58e8-c753-4723-8400-45f63b208883" updatedVersion="8" minRefreshableVersion="3" subtotalHiddenItems="1" itemPrintTitles="1" createdVersion="5"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9AC32-B407-4C3B-938E-44F25F5C837E}" name="PivotTable9" cacheId="6" applyNumberFormats="0" applyBorderFormats="0" applyFontFormats="0" applyPatternFormats="0" applyAlignmentFormats="0" applyWidthHeightFormats="1" dataCaption="Values" tag="78144ca8-25af-4eac-b892-e7875912491c" updatedVersion="8" minRefreshableVersion="3" subtotalHiddenItems="1" itemPrintTitles="1" createdVersion="5" indent="0" outline="1" outlineData="1" multipleFieldFilters="0" chartFormat="13">
  <location ref="A6:B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0">
      <pivotArea outline="0" collapsedLevelsAreSubtotals="1" fieldPosition="0"/>
    </format>
  </formats>
  <chartFormats count="3">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 count="1" selected="0">
            <x v="0"/>
          </reference>
        </references>
      </pivotArea>
    </chartFormat>
    <chartFormat chart="5" format="2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3A327-E1B4-4ADE-BA44-01EBA31EB8A5}" name="PivotTable11" cacheId="10" applyNumberFormats="0" applyBorderFormats="0" applyFontFormats="0" applyPatternFormats="0" applyAlignmentFormats="0" applyWidthHeightFormats="1" dataCaption="Values" tag="3d5f6cba-1447-477e-a429-825cbb4bcc80" updatedVersion="8" minRefreshableVersion="3" subtotalHiddenItems="1" itemPrintTitles="1" createdVersion="5" indent="0" outline="1" outlineData="1" multipleFieldFilters="0" chartFormat="11">
  <location ref="A43:B5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3">
    <format dxfId="3">
      <pivotArea outline="0" collapsedLevelsAreSubtotals="1" fieldPosition="0"/>
    </format>
    <format dxfId="2">
      <pivotArea collapsedLevelsAreSubtotals="1" fieldPosition="0">
        <references count="1">
          <reference field="1" count="7">
            <x v="0"/>
            <x v="1"/>
            <x v="2"/>
            <x v="3"/>
            <x v="4"/>
            <x v="5"/>
            <x v="6"/>
          </reference>
        </references>
      </pivotArea>
    </format>
    <format dxfId="1">
      <pivotArea collapsedLevelsAreSubtotals="1" fieldPosition="0">
        <references count="1">
          <reference field="1" count="1">
            <x v="7"/>
          </reference>
        </references>
      </pivotArea>
    </format>
  </formats>
  <chartFormats count="1">
    <chartFormat chart="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897280-4CF0-413F-94BF-25BF9C988FF9}" name="PivotTable4" cacheId="0" applyNumberFormats="0" applyBorderFormats="0" applyFontFormats="0" applyPatternFormats="0" applyAlignmentFormats="0" applyWidthHeightFormats="1" dataCaption="Values" tag="ab013e05-8d2a-482e-b9a4-6a358dfd9084" updatedVersion="8" minRefreshableVersion="3" subtotalHiddenItems="1" itemPrintTitles="1" createdVersion="5" indent="0" outline="1" outlineData="1" multipleFieldFilters="0" chartFormat="13">
  <location ref="D6:E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C64041-E65A-4C41-AEEB-C8D1604D6378}" name="PivotTable8" cacheId="5" applyNumberFormats="0" applyBorderFormats="0" applyFontFormats="0" applyPatternFormats="0" applyAlignmentFormats="0" applyWidthHeightFormats="1" dataCaption="Values" tag="3d5f6cba-1447-477e-a429-825cbb4bcc80" updatedVersion="8" minRefreshableVersion="3" subtotalHiddenItems="1" itemPrintTitles="1" createdVersion="5" indent="0" outline="1" outlineData="1" multipleFieldFilters="0" chartFormat="9">
  <location ref="J6:K3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0" subtotal="average" baseField="0" baseItem="0"/>
  </dataFields>
  <formats count="1">
    <format dxfId="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F8599E-8F47-49C6-B1D3-B6081B65F05E}" name="PivotTable3" cacheId="3" applyNumberFormats="0" applyBorderFormats="0" applyFontFormats="0" applyPatternFormats="0" applyAlignmentFormats="0" applyWidthHeightFormats="1" dataCaption="Values" tag="3d5f6cba-1447-477e-a429-825cbb4bcc80"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928BD4-694B-4147-B033-0A92A194BA91}" name="PivotTable6" cacheId="9" applyNumberFormats="0" applyBorderFormats="0" applyFontFormats="0" applyPatternFormats="0" applyAlignmentFormats="0" applyWidthHeightFormats="1" dataCaption="Values" tag="3d5f6cba-1447-477e-a429-825cbb4bcc80" updatedVersion="8" minRefreshableVersion="3" subtotalHiddenItems="1" itemPrintTitles="1" createdVersion="5" indent="0" outline="1" outlineData="1" multipleFieldFilters="0" chartFormat="10">
  <location ref="F39:G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6">
      <pivotArea outline="0" collapsedLevelsAreSubtotals="1" fieldPosition="0"/>
    </format>
  </formats>
  <chartFormats count="9">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 count="1" selected="0">
            <x v="0"/>
          </reference>
        </references>
      </pivotArea>
    </chartFormat>
    <chartFormat chart="7" format="20">
      <pivotArea type="data" outline="0" fieldPosition="0">
        <references count="2">
          <reference field="4294967294" count="1" selected="0">
            <x v="0"/>
          </reference>
          <reference field="1" count="1" selected="0">
            <x v="1"/>
          </reference>
        </references>
      </pivotArea>
    </chartFormat>
    <chartFormat chart="7" format="21">
      <pivotArea type="data" outline="0" fieldPosition="0">
        <references count="2">
          <reference field="4294967294" count="1" selected="0">
            <x v="0"/>
          </reference>
          <reference field="1" count="1" selected="0">
            <x v="2"/>
          </reference>
        </references>
      </pivotArea>
    </chartFormat>
    <chartFormat chart="7" format="22">
      <pivotArea type="data" outline="0" fieldPosition="0">
        <references count="2">
          <reference field="4294967294" count="1" selected="0">
            <x v="0"/>
          </reference>
          <reference field="1" count="1" selected="0">
            <x v="3"/>
          </reference>
        </references>
      </pivotArea>
    </chartFormat>
    <chartFormat chart="7" format="23">
      <pivotArea type="data" outline="0" fieldPosition="0">
        <references count="2">
          <reference field="4294967294" count="1" selected="0">
            <x v="0"/>
          </reference>
          <reference field="1" count="1" selected="0">
            <x v="4"/>
          </reference>
        </references>
      </pivotArea>
    </chartFormat>
    <chartFormat chart="7" format="24">
      <pivotArea type="data" outline="0" fieldPosition="0">
        <references count="2">
          <reference field="4294967294" count="1" selected="0">
            <x v="0"/>
          </reference>
          <reference field="1" count="1" selected="0">
            <x v="5"/>
          </reference>
        </references>
      </pivotArea>
    </chartFormat>
    <chartFormat chart="7" format="25">
      <pivotArea type="data" outline="0" fieldPosition="0">
        <references count="2">
          <reference field="4294967294" count="1" selected="0">
            <x v="0"/>
          </reference>
          <reference field="1" count="1" selected="0">
            <x v="6"/>
          </reference>
        </references>
      </pivotArea>
    </chartFormat>
    <chartFormat chart="7" format="26">
      <pivotArea type="data" outline="0" fieldPosition="0">
        <references count="2">
          <reference field="4294967294" count="1" selected="0">
            <x v="0"/>
          </reference>
          <reference field="1" count="1" selected="0">
            <x v="7"/>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BB4EA4-92CF-4EC6-B719-0A606CAF6830}" name="PivotTable10" cacheId="7" applyNumberFormats="0" applyBorderFormats="0" applyFontFormats="0" applyPatternFormats="0" applyAlignmentFormats="0" applyWidthHeightFormats="1" dataCaption="Values" tag="78144ca8-25af-4eac-b892-e7875912491c" updatedVersion="8" minRefreshableVersion="3" subtotalHiddenItems="1" itemPrintTitles="1" createdVersion="5" indent="0" outline="1" outlineData="1" multipleFieldFilters="0" chartFormat="13">
  <location ref="A19:B2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7">
      <pivotArea outline="0" collapsedLevelsAreSubtotals="1" fieldPosition="0"/>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8F7596-7AC5-40CB-8A49-1D5F9147A37D}" name="PivotTable12" cacheId="11" applyNumberFormats="0" applyBorderFormats="0" applyFontFormats="0" applyPatternFormats="0" applyAlignmentFormats="0" applyWidthHeightFormats="1" dataCaption="Values" tag="3d5f6cba-1447-477e-a429-825cbb4bcc80" updatedVersion="8" minRefreshableVersion="3" subtotalHiddenItems="1" itemPrintTitles="1" createdVersion="5" indent="0" outline="1" outlineData="1" multipleFieldFilters="0" chartFormat="10">
  <location ref="D48:D5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
      <pivotArea outline="0" collapsedLevelsAreSubtotals="1" fieldPosition="0"/>
    </format>
  </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003311-EFC5-4DF6-BFD2-2DDFF3B0E252}" name="PivotTable2" cacheId="2" applyNumberFormats="0" applyBorderFormats="0" applyFontFormats="0" applyPatternFormats="0" applyAlignmentFormats="0" applyWidthHeightFormats="1" dataCaption="Values" tag="78144ca8-25af-4eac-b892-e7875912491c"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08CCCB-2075-4885-B292-E1DF030BFEAA}" name="PivotTable5" cacheId="8" applyNumberFormats="0" applyBorderFormats="0" applyFontFormats="0" applyPatternFormats="0" applyAlignmentFormats="0" applyWidthHeightFormats="1" dataCaption="Values" tag="3d5f6cba-1447-477e-a429-825cbb4bcc80" updatedVersion="8" minRefreshableVersion="3" subtotalHiddenItems="1" itemPrintTitles="1" createdVersion="5" indent="0" outline="1" outlineData="1" multipleFieldFilters="0" chartFormat="9">
  <location ref="A25:C2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3">
      <pivotArea outline="0" collapsedLevelsAreSubtotals="1" fieldPosition="0"/>
    </format>
    <format dxfId="12">
      <pivotArea outline="0" fieldPosition="0">
        <references count="1">
          <reference field="4294967294" count="1">
            <x v="1"/>
          </reference>
        </references>
      </pivotArea>
    </format>
    <format dxfId="11">
      <pivotArea collapsedLevelsAreSubtotals="1" fieldPosition="0">
        <references count="2">
          <reference field="4294967294" count="1" selected="0">
            <x v="0"/>
          </reference>
          <reference field="2" count="0"/>
        </references>
      </pivotArea>
    </format>
    <format dxfId="10">
      <pivotArea field="2" grandRow="1" outline="0" collapsedLevelsAreSubtotals="1" axis="axisRow" fieldPosition="0">
        <references count="1">
          <reference field="4294967294" count="1" selected="0">
            <x v="0"/>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4AD700-4F01-4943-BFAC-45B39C96AE86}" name="PivotTable7" cacheId="4" applyNumberFormats="0" applyBorderFormats="0" applyFontFormats="0" applyPatternFormats="0" applyAlignmentFormats="0" applyWidthHeightFormats="1" dataCaption="Values" tag="78144ca8-25af-4eac-b892-e7875912491c" updatedVersion="8" minRefreshableVersion="3" subtotalHiddenItems="1" itemPrintTitles="1" createdVersion="5" indent="0" outline="1" outlineData="1" multipleFieldFilters="0" chartFormat="7">
  <location ref="G6:H3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numFmtId="2"/>
  </dataFields>
  <formats count="1">
    <format dxfId="1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y]"/>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8221708-883F-4091-B0B7-ABBCBC332A45}" sourceName="[Calendar].[Date (Month)]">
  <pivotTables>
    <pivotTable tabId="1" name="PivotTable4"/>
    <pivotTable tabId="1" name="PivotTable1"/>
    <pivotTable tabId="1" name="PivotTable2"/>
    <pivotTable tabId="1" name="PivotTable3"/>
    <pivotTable tabId="1" name="PivotTable7"/>
    <pivotTable tabId="1" name="PivotTable8"/>
    <pivotTable tabId="1" name="PivotTable9"/>
    <pivotTable tabId="1" name="PivotTable10"/>
    <pivotTable tabId="1" name="PivotTable5"/>
    <pivotTable tabId="1" name="PivotTable6"/>
    <pivotTable tabId="1" name="PivotTable11"/>
    <pivotTable tabId="1" name="PivotTable12"/>
  </pivotTables>
  <data>
    <olap pivotCacheId="1227860491">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5E98403-8F0F-41BA-A561-E91105323830}" sourceName="[Calendar].[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27860491">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E310D13-F6E8-4200-986D-3113D092C060}" cache="Slicer_Date__Month" caption="Date (Month)" showCaption="0" level="1" style="SlicerStyleOther2 2" rowHeight="216000"/>
  <slicer name="Date (Year)" xr10:uid="{C2148E2E-879F-4D5A-9BD0-6A1570EE7BCA}" cache="Slicer_Date__Year" caption="Date (Year)" columnCount="2" showCaption="0" level="1" style="SlicerStyleOther2 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AC14-6C3B-4886-A3B7-20E258155532}">
  <dimension ref="A1:K52"/>
  <sheetViews>
    <sheetView topLeftCell="A30" workbookViewId="0">
      <selection activeCell="D48" sqref="D48:D51"/>
    </sheetView>
  </sheetViews>
  <sheetFormatPr defaultRowHeight="14.5" x14ac:dyDescent="0.35"/>
  <cols>
    <col min="1" max="1" width="16.08984375" customWidth="1"/>
    <col min="2" max="2" width="9.6328125" customWidth="1"/>
    <col min="3" max="3" width="9.26953125" customWidth="1"/>
    <col min="4" max="4" width="17.36328125" customWidth="1"/>
    <col min="5" max="5" width="16.81640625" bestFit="1" customWidth="1"/>
    <col min="7" max="7" width="12.36328125" bestFit="1" customWidth="1"/>
    <col min="8" max="8" width="24.81640625" bestFit="1" customWidth="1"/>
    <col min="10" max="10" width="12.36328125" bestFit="1" customWidth="1"/>
    <col min="11" max="11" width="21.6328125" customWidth="1"/>
  </cols>
  <sheetData>
    <row r="1" spans="1:11" x14ac:dyDescent="0.35">
      <c r="A1" t="s">
        <v>1</v>
      </c>
    </row>
    <row r="2" spans="1:11" x14ac:dyDescent="0.35">
      <c r="A2" t="s">
        <v>0</v>
      </c>
    </row>
    <row r="3" spans="1:11" x14ac:dyDescent="0.35">
      <c r="A3">
        <v>519</v>
      </c>
    </row>
    <row r="5" spans="1:11" x14ac:dyDescent="0.35">
      <c r="D5" t="s">
        <v>6</v>
      </c>
      <c r="G5" t="s">
        <v>7</v>
      </c>
      <c r="J5" t="s">
        <v>8</v>
      </c>
    </row>
    <row r="6" spans="1:11" x14ac:dyDescent="0.35">
      <c r="A6" s="1" t="s">
        <v>5</v>
      </c>
      <c r="B6" t="s">
        <v>0</v>
      </c>
      <c r="D6" s="1" t="s">
        <v>5</v>
      </c>
      <c r="E6" t="s">
        <v>0</v>
      </c>
      <c r="G6" s="1" t="s">
        <v>5</v>
      </c>
      <c r="H6" t="s">
        <v>2</v>
      </c>
      <c r="J6" s="1" t="s">
        <v>5</v>
      </c>
      <c r="K6" t="s">
        <v>3</v>
      </c>
    </row>
    <row r="7" spans="1:11" x14ac:dyDescent="0.35">
      <c r="A7" s="4" t="s">
        <v>9</v>
      </c>
      <c r="B7" s="2">
        <v>324</v>
      </c>
      <c r="D7" s="4" t="s">
        <v>39</v>
      </c>
      <c r="E7">
        <v>14</v>
      </c>
      <c r="G7" s="4" t="s">
        <v>39</v>
      </c>
      <c r="H7" s="2">
        <v>35.642857142857146</v>
      </c>
      <c r="J7" s="4" t="s">
        <v>39</v>
      </c>
      <c r="K7" s="2">
        <v>7.4</v>
      </c>
    </row>
    <row r="8" spans="1:11" x14ac:dyDescent="0.35">
      <c r="A8" s="4" t="s">
        <v>10</v>
      </c>
      <c r="B8" s="2">
        <v>195</v>
      </c>
      <c r="D8" s="4" t="s">
        <v>40</v>
      </c>
      <c r="E8">
        <v>21</v>
      </c>
      <c r="G8" s="4" t="s">
        <v>40</v>
      </c>
      <c r="H8" s="2">
        <v>27</v>
      </c>
      <c r="J8" s="4" t="s">
        <v>40</v>
      </c>
      <c r="K8" s="2">
        <v>5.6</v>
      </c>
    </row>
    <row r="9" spans="1:11" x14ac:dyDescent="0.35">
      <c r="A9" s="4" t="s">
        <v>4</v>
      </c>
      <c r="B9" s="2">
        <v>519</v>
      </c>
      <c r="D9" s="4" t="s">
        <v>41</v>
      </c>
      <c r="E9">
        <v>21</v>
      </c>
      <c r="G9" s="4" t="s">
        <v>41</v>
      </c>
      <c r="H9" s="2">
        <v>36.047619047619051</v>
      </c>
      <c r="J9" s="4" t="s">
        <v>41</v>
      </c>
      <c r="K9" s="2">
        <v>6.7142857142857144</v>
      </c>
    </row>
    <row r="10" spans="1:11" x14ac:dyDescent="0.35">
      <c r="D10" s="4" t="s">
        <v>42</v>
      </c>
      <c r="E10">
        <v>15</v>
      </c>
      <c r="G10" s="4" t="s">
        <v>42</v>
      </c>
      <c r="H10" s="2">
        <v>38.866666666666667</v>
      </c>
      <c r="J10" s="4" t="s">
        <v>42</v>
      </c>
      <c r="K10" s="2">
        <v>6</v>
      </c>
    </row>
    <row r="11" spans="1:11" x14ac:dyDescent="0.35">
      <c r="D11" s="4" t="s">
        <v>43</v>
      </c>
      <c r="E11">
        <v>11</v>
      </c>
      <c r="G11" s="4" t="s">
        <v>43</v>
      </c>
      <c r="H11" s="2">
        <v>35.909090909090907</v>
      </c>
      <c r="J11" s="4" t="s">
        <v>43</v>
      </c>
      <c r="K11" s="2">
        <v>4</v>
      </c>
    </row>
    <row r="12" spans="1:11" x14ac:dyDescent="0.35">
      <c r="A12" t="s">
        <v>2</v>
      </c>
      <c r="D12" s="4" t="s">
        <v>44</v>
      </c>
      <c r="E12">
        <v>17</v>
      </c>
      <c r="G12" s="4" t="s">
        <v>44</v>
      </c>
      <c r="H12" s="2">
        <v>38.470588235294116</v>
      </c>
      <c r="J12" s="4" t="s">
        <v>44</v>
      </c>
      <c r="K12" s="2">
        <v>4.7142857142857144</v>
      </c>
    </row>
    <row r="13" spans="1:11" x14ac:dyDescent="0.35">
      <c r="A13" s="2">
        <v>35.809248554913296</v>
      </c>
      <c r="D13" s="4" t="s">
        <v>45</v>
      </c>
      <c r="E13">
        <v>15</v>
      </c>
      <c r="G13" s="4" t="s">
        <v>45</v>
      </c>
      <c r="H13" s="2">
        <v>36.733333333333334</v>
      </c>
      <c r="J13" s="4" t="s">
        <v>45</v>
      </c>
      <c r="K13" s="2">
        <v>1.8</v>
      </c>
    </row>
    <row r="14" spans="1:11" x14ac:dyDescent="0.35">
      <c r="D14" s="4" t="s">
        <v>46</v>
      </c>
      <c r="E14">
        <v>17</v>
      </c>
      <c r="G14" s="4" t="s">
        <v>46</v>
      </c>
      <c r="H14" s="2">
        <v>34.588235294117645</v>
      </c>
      <c r="J14" s="4" t="s">
        <v>46</v>
      </c>
      <c r="K14" s="2">
        <v>4.833333333333333</v>
      </c>
    </row>
    <row r="15" spans="1:11" x14ac:dyDescent="0.35">
      <c r="D15" s="4" t="s">
        <v>47</v>
      </c>
      <c r="E15">
        <v>13</v>
      </c>
      <c r="G15" s="4" t="s">
        <v>47</v>
      </c>
      <c r="H15" s="2">
        <v>37.53846153846154</v>
      </c>
      <c r="J15" s="4" t="s">
        <v>47</v>
      </c>
      <c r="K15" s="2">
        <v>4.25</v>
      </c>
    </row>
    <row r="16" spans="1:11" x14ac:dyDescent="0.35">
      <c r="A16" t="s">
        <v>3</v>
      </c>
      <c r="D16" s="4" t="s">
        <v>48</v>
      </c>
      <c r="E16">
        <v>24</v>
      </c>
      <c r="G16" s="4" t="s">
        <v>48</v>
      </c>
      <c r="H16" s="2">
        <v>31.708333333333332</v>
      </c>
      <c r="J16" s="4" t="s">
        <v>48</v>
      </c>
      <c r="K16" s="2">
        <v>4.5999999999999996</v>
      </c>
    </row>
    <row r="17" spans="1:11" x14ac:dyDescent="0.35">
      <c r="A17" s="2">
        <v>5.1455696202531644</v>
      </c>
      <c r="D17" s="4" t="s">
        <v>49</v>
      </c>
      <c r="E17">
        <v>13</v>
      </c>
      <c r="G17" s="4" t="s">
        <v>49</v>
      </c>
      <c r="H17" s="2">
        <v>28.923076923076923</v>
      </c>
      <c r="J17" s="4" t="s">
        <v>49</v>
      </c>
      <c r="K17" s="2">
        <v>6.5</v>
      </c>
    </row>
    <row r="18" spans="1:11" x14ac:dyDescent="0.35">
      <c r="D18" s="4" t="s">
        <v>50</v>
      </c>
      <c r="E18">
        <v>14</v>
      </c>
      <c r="G18" s="4" t="s">
        <v>50</v>
      </c>
      <c r="H18" s="2">
        <v>42.071428571428569</v>
      </c>
      <c r="J18" s="4" t="s">
        <v>50</v>
      </c>
      <c r="K18" s="2">
        <v>5</v>
      </c>
    </row>
    <row r="19" spans="1:11" x14ac:dyDescent="0.35">
      <c r="A19" s="1" t="s">
        <v>5</v>
      </c>
      <c r="B19" t="s">
        <v>0</v>
      </c>
      <c r="D19" s="4" t="s">
        <v>51</v>
      </c>
      <c r="E19">
        <v>12</v>
      </c>
      <c r="G19" s="4" t="s">
        <v>51</v>
      </c>
      <c r="H19" s="2">
        <v>35.833333333333336</v>
      </c>
      <c r="J19" s="4" t="s">
        <v>51</v>
      </c>
      <c r="K19" s="2">
        <v>6</v>
      </c>
    </row>
    <row r="20" spans="1:11" x14ac:dyDescent="0.35">
      <c r="A20" s="4" t="s">
        <v>11</v>
      </c>
      <c r="B20" s="2">
        <v>254</v>
      </c>
      <c r="D20" s="4" t="s">
        <v>52</v>
      </c>
      <c r="E20">
        <v>11</v>
      </c>
      <c r="G20" s="4" t="s">
        <v>52</v>
      </c>
      <c r="H20" s="2">
        <v>28.727272727272727</v>
      </c>
      <c r="J20" s="4" t="s">
        <v>52</v>
      </c>
      <c r="K20" s="2">
        <v>4.7142857142857144</v>
      </c>
    </row>
    <row r="21" spans="1:11" x14ac:dyDescent="0.35">
      <c r="A21" s="4" t="s">
        <v>12</v>
      </c>
      <c r="B21" s="2">
        <v>265</v>
      </c>
      <c r="D21" s="4" t="s">
        <v>53</v>
      </c>
      <c r="E21">
        <v>16</v>
      </c>
      <c r="G21" s="4" t="s">
        <v>53</v>
      </c>
      <c r="H21" s="2">
        <v>35.75</v>
      </c>
      <c r="J21" s="4" t="s">
        <v>53</v>
      </c>
      <c r="K21" s="2">
        <v>4.2</v>
      </c>
    </row>
    <row r="22" spans="1:11" x14ac:dyDescent="0.35">
      <c r="A22" s="4" t="s">
        <v>4</v>
      </c>
      <c r="B22" s="2">
        <v>519</v>
      </c>
      <c r="D22" s="4" t="s">
        <v>54</v>
      </c>
      <c r="E22">
        <v>20</v>
      </c>
      <c r="G22" s="4" t="s">
        <v>54</v>
      </c>
      <c r="H22" s="2">
        <v>34.75</v>
      </c>
      <c r="J22" s="4" t="s">
        <v>54</v>
      </c>
      <c r="K22" s="2">
        <v>7.2</v>
      </c>
    </row>
    <row r="23" spans="1:11" x14ac:dyDescent="0.35">
      <c r="D23" s="4" t="s">
        <v>55</v>
      </c>
      <c r="E23">
        <v>15</v>
      </c>
      <c r="G23" s="4" t="s">
        <v>55</v>
      </c>
      <c r="H23" s="2">
        <v>37.666666666666664</v>
      </c>
      <c r="J23" s="4" t="s">
        <v>55</v>
      </c>
      <c r="K23" s="2">
        <v>4.333333333333333</v>
      </c>
    </row>
    <row r="24" spans="1:11" x14ac:dyDescent="0.35">
      <c r="D24" s="4" t="s">
        <v>56</v>
      </c>
      <c r="E24">
        <v>19</v>
      </c>
      <c r="G24" s="4" t="s">
        <v>56</v>
      </c>
      <c r="H24" s="2">
        <v>40.421052631578945</v>
      </c>
      <c r="J24" s="4" t="s">
        <v>56</v>
      </c>
      <c r="K24" s="2">
        <v>3.7777777777777777</v>
      </c>
    </row>
    <row r="25" spans="1:11" x14ac:dyDescent="0.35">
      <c r="A25" s="1" t="s">
        <v>5</v>
      </c>
      <c r="B25" t="s">
        <v>13</v>
      </c>
      <c r="C25" t="s">
        <v>32</v>
      </c>
      <c r="D25" s="4" t="s">
        <v>57</v>
      </c>
      <c r="E25">
        <v>16</v>
      </c>
      <c r="G25" s="4" t="s">
        <v>57</v>
      </c>
      <c r="H25" s="2">
        <v>33.75</v>
      </c>
      <c r="J25" s="4" t="s">
        <v>57</v>
      </c>
      <c r="K25" s="2">
        <v>3.6666666666666665</v>
      </c>
    </row>
    <row r="26" spans="1:11" x14ac:dyDescent="0.35">
      <c r="A26" s="4" t="s">
        <v>14</v>
      </c>
      <c r="B26" s="6">
        <v>266</v>
      </c>
      <c r="C26" s="5">
        <v>0.51252408477842004</v>
      </c>
      <c r="D26" s="4" t="s">
        <v>58</v>
      </c>
      <c r="E26">
        <v>17</v>
      </c>
      <c r="G26" s="4" t="s">
        <v>58</v>
      </c>
      <c r="H26" s="2">
        <v>32.764705882352942</v>
      </c>
      <c r="J26" s="4" t="s">
        <v>58</v>
      </c>
      <c r="K26" s="2">
        <v>4</v>
      </c>
    </row>
    <row r="27" spans="1:11" x14ac:dyDescent="0.35">
      <c r="A27" s="4" t="s">
        <v>15</v>
      </c>
      <c r="B27" s="6">
        <v>253</v>
      </c>
      <c r="C27" s="5">
        <v>0.48747591522157996</v>
      </c>
      <c r="D27" s="4" t="s">
        <v>59</v>
      </c>
      <c r="E27">
        <v>28</v>
      </c>
      <c r="G27" s="4" t="s">
        <v>59</v>
      </c>
      <c r="H27" s="2">
        <v>37.357142857142854</v>
      </c>
      <c r="J27" s="4" t="s">
        <v>59</v>
      </c>
      <c r="K27" s="2">
        <v>5.833333333333333</v>
      </c>
    </row>
    <row r="28" spans="1:11" x14ac:dyDescent="0.35">
      <c r="A28" s="4" t="s">
        <v>4</v>
      </c>
      <c r="B28" s="6">
        <v>519</v>
      </c>
      <c r="C28" s="5">
        <v>1</v>
      </c>
      <c r="D28" s="4" t="s">
        <v>60</v>
      </c>
      <c r="E28">
        <v>22</v>
      </c>
      <c r="G28" s="4" t="s">
        <v>60</v>
      </c>
      <c r="H28" s="2">
        <v>37.227272727272727</v>
      </c>
      <c r="J28" s="4" t="s">
        <v>60</v>
      </c>
      <c r="K28" s="2">
        <v>5.666666666666667</v>
      </c>
    </row>
    <row r="29" spans="1:11" x14ac:dyDescent="0.35">
      <c r="D29" s="4" t="s">
        <v>61</v>
      </c>
      <c r="E29">
        <v>20</v>
      </c>
      <c r="G29" s="4" t="s">
        <v>61</v>
      </c>
      <c r="H29" s="2">
        <v>36.700000000000003</v>
      </c>
      <c r="J29" s="4" t="s">
        <v>61</v>
      </c>
      <c r="K29" s="2">
        <v>5.5</v>
      </c>
    </row>
    <row r="30" spans="1:11" x14ac:dyDescent="0.35">
      <c r="D30" s="4" t="s">
        <v>62</v>
      </c>
      <c r="E30">
        <v>17</v>
      </c>
      <c r="G30" s="4" t="s">
        <v>62</v>
      </c>
      <c r="H30" s="2">
        <v>43.058823529411768</v>
      </c>
      <c r="J30" s="4" t="s">
        <v>62</v>
      </c>
      <c r="K30" s="2">
        <v>5.5</v>
      </c>
    </row>
    <row r="31" spans="1:11" x14ac:dyDescent="0.35">
      <c r="D31" s="4" t="s">
        <v>63</v>
      </c>
      <c r="E31">
        <v>18</v>
      </c>
      <c r="G31" s="4" t="s">
        <v>63</v>
      </c>
      <c r="H31" s="2">
        <v>39.777777777777779</v>
      </c>
      <c r="J31" s="4" t="s">
        <v>63</v>
      </c>
      <c r="K31" s="2">
        <v>7</v>
      </c>
    </row>
    <row r="32" spans="1:11" x14ac:dyDescent="0.35">
      <c r="D32" s="4" t="s">
        <v>64</v>
      </c>
      <c r="E32">
        <v>13</v>
      </c>
      <c r="G32" s="4" t="s">
        <v>64</v>
      </c>
      <c r="H32" s="2">
        <v>40.692307692307693</v>
      </c>
      <c r="J32" s="4" t="s">
        <v>64</v>
      </c>
      <c r="K32" s="2">
        <v>7</v>
      </c>
    </row>
    <row r="33" spans="1:11" x14ac:dyDescent="0.35">
      <c r="D33" s="4" t="s">
        <v>65</v>
      </c>
      <c r="E33">
        <v>13</v>
      </c>
      <c r="G33" s="4" t="s">
        <v>65</v>
      </c>
      <c r="H33" s="2">
        <v>34.46153846153846</v>
      </c>
      <c r="J33" s="4" t="s">
        <v>65</v>
      </c>
      <c r="K33" s="2">
        <v>4</v>
      </c>
    </row>
    <row r="34" spans="1:11" x14ac:dyDescent="0.35">
      <c r="D34" s="4" t="s">
        <v>66</v>
      </c>
      <c r="E34">
        <v>13</v>
      </c>
      <c r="G34" s="4" t="s">
        <v>66</v>
      </c>
      <c r="H34" s="2">
        <v>30.307692307692307</v>
      </c>
      <c r="J34" s="4" t="s">
        <v>66</v>
      </c>
      <c r="K34" s="2">
        <v>4.4444444444444446</v>
      </c>
    </row>
    <row r="35" spans="1:11" x14ac:dyDescent="0.35">
      <c r="D35" s="4" t="s">
        <v>67</v>
      </c>
      <c r="E35">
        <v>20</v>
      </c>
      <c r="G35" s="4" t="s">
        <v>67</v>
      </c>
      <c r="H35" s="2">
        <v>38.5</v>
      </c>
      <c r="J35" s="4" t="s">
        <v>67</v>
      </c>
      <c r="K35" s="2">
        <v>4.8571428571428568</v>
      </c>
    </row>
    <row r="36" spans="1:11" x14ac:dyDescent="0.35">
      <c r="D36" s="4" t="s">
        <v>68</v>
      </c>
      <c r="E36">
        <v>15</v>
      </c>
      <c r="G36" s="4" t="s">
        <v>68</v>
      </c>
      <c r="H36" s="2">
        <v>35.333333333333336</v>
      </c>
      <c r="J36" s="4" t="s">
        <v>68</v>
      </c>
      <c r="K36" s="2">
        <v>5.5714285714285712</v>
      </c>
    </row>
    <row r="37" spans="1:11" x14ac:dyDescent="0.35">
      <c r="D37" s="4" t="s">
        <v>69</v>
      </c>
      <c r="E37">
        <v>19</v>
      </c>
      <c r="G37" s="4" t="s">
        <v>69</v>
      </c>
      <c r="H37" s="2">
        <v>32.421052631578945</v>
      </c>
      <c r="J37" s="4" t="s">
        <v>69</v>
      </c>
      <c r="K37" s="2">
        <v>6</v>
      </c>
    </row>
    <row r="38" spans="1:11" x14ac:dyDescent="0.35">
      <c r="D38" s="4" t="s">
        <v>4</v>
      </c>
      <c r="E38">
        <v>519</v>
      </c>
      <c r="G38" s="4" t="s">
        <v>4</v>
      </c>
      <c r="H38" s="2">
        <v>35.809248554913296</v>
      </c>
      <c r="J38" s="4" t="s">
        <v>4</v>
      </c>
      <c r="K38" s="2">
        <v>5.1455696202531644</v>
      </c>
    </row>
    <row r="39" spans="1:11" x14ac:dyDescent="0.35">
      <c r="A39" s="8" t="s">
        <v>33</v>
      </c>
      <c r="B39" s="8" t="s">
        <v>34</v>
      </c>
      <c r="C39" s="8" t="s">
        <v>35</v>
      </c>
      <c r="D39" s="9"/>
      <c r="F39" s="1" t="s">
        <v>5</v>
      </c>
      <c r="G39" t="s">
        <v>36</v>
      </c>
    </row>
    <row r="40" spans="1:11" x14ac:dyDescent="0.35">
      <c r="A40" s="8" t="str">
        <f>A27</f>
        <v>Not Admitted</v>
      </c>
      <c r="B40" s="8">
        <f>B27</f>
        <v>253</v>
      </c>
      <c r="C40" s="10">
        <f>C27</f>
        <v>0.48747591522157996</v>
      </c>
      <c r="D40" s="9"/>
      <c r="F40" s="4" t="s">
        <v>18</v>
      </c>
      <c r="G40" s="2">
        <v>73</v>
      </c>
    </row>
    <row r="41" spans="1:11" x14ac:dyDescent="0.35">
      <c r="A41" s="8" t="str">
        <f>A26</f>
        <v>Admitted</v>
      </c>
      <c r="B41" s="8">
        <f>B26</f>
        <v>266</v>
      </c>
      <c r="C41" s="10">
        <f>C26</f>
        <v>0.51252408477842004</v>
      </c>
      <c r="D41" s="9"/>
      <c r="F41" s="4" t="s">
        <v>21</v>
      </c>
      <c r="G41" s="2">
        <v>64</v>
      </c>
    </row>
    <row r="42" spans="1:11" x14ac:dyDescent="0.35">
      <c r="F42" s="4" t="s">
        <v>19</v>
      </c>
      <c r="G42" s="2">
        <v>74</v>
      </c>
    </row>
    <row r="43" spans="1:11" x14ac:dyDescent="0.35">
      <c r="A43" s="1" t="s">
        <v>5</v>
      </c>
      <c r="B43" t="s">
        <v>37</v>
      </c>
      <c r="F43" s="4" t="s">
        <v>22</v>
      </c>
      <c r="G43" s="2">
        <v>71</v>
      </c>
    </row>
    <row r="44" spans="1:11" x14ac:dyDescent="0.35">
      <c r="A44" s="4" t="s">
        <v>31</v>
      </c>
      <c r="B44" s="6">
        <v>3</v>
      </c>
      <c r="F44" s="4" t="s">
        <v>20</v>
      </c>
      <c r="G44" s="2">
        <v>58</v>
      </c>
    </row>
    <row r="45" spans="1:11" x14ac:dyDescent="0.35">
      <c r="A45" s="4" t="s">
        <v>30</v>
      </c>
      <c r="B45" s="6">
        <v>8</v>
      </c>
      <c r="F45" s="4" t="s">
        <v>24</v>
      </c>
      <c r="G45" s="2">
        <v>68</v>
      </c>
    </row>
    <row r="46" spans="1:11" x14ac:dyDescent="0.35">
      <c r="A46" s="4" t="s">
        <v>28</v>
      </c>
      <c r="B46" s="6">
        <v>11</v>
      </c>
      <c r="F46" s="4" t="s">
        <v>23</v>
      </c>
      <c r="G46" s="2">
        <v>62</v>
      </c>
    </row>
    <row r="47" spans="1:11" x14ac:dyDescent="0.35">
      <c r="A47" s="4" t="s">
        <v>27</v>
      </c>
      <c r="B47" s="6">
        <v>15</v>
      </c>
      <c r="F47" s="4" t="s">
        <v>17</v>
      </c>
      <c r="G47" s="2">
        <v>49</v>
      </c>
    </row>
    <row r="48" spans="1:11" x14ac:dyDescent="0.35">
      <c r="A48" s="4" t="s">
        <v>29</v>
      </c>
      <c r="B48" s="6">
        <v>16</v>
      </c>
      <c r="D48" s="1" t="s">
        <v>5</v>
      </c>
      <c r="F48" s="4" t="s">
        <v>4</v>
      </c>
      <c r="G48" s="2">
        <v>519</v>
      </c>
      <c r="I48" s="7"/>
    </row>
    <row r="49" spans="1:9" x14ac:dyDescent="0.35">
      <c r="A49" s="4" t="s">
        <v>26</v>
      </c>
      <c r="B49" s="6">
        <v>51</v>
      </c>
      <c r="D49" s="4" t="s">
        <v>38</v>
      </c>
      <c r="I49" s="7"/>
    </row>
    <row r="50" spans="1:9" x14ac:dyDescent="0.35">
      <c r="A50" s="4" t="s">
        <v>25</v>
      </c>
      <c r="B50" s="6">
        <v>102</v>
      </c>
      <c r="D50" s="4" t="s">
        <v>4</v>
      </c>
    </row>
    <row r="51" spans="1:9" x14ac:dyDescent="0.35">
      <c r="A51" s="4" t="s">
        <v>16</v>
      </c>
      <c r="B51" s="6">
        <v>313</v>
      </c>
    </row>
    <row r="52" spans="1:9" x14ac:dyDescent="0.35">
      <c r="A52" s="4" t="s">
        <v>4</v>
      </c>
      <c r="B52" s="2">
        <v>519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240F-EF71-41D3-B85D-C93441F8BFF8}">
  <dimension ref="A1:P23"/>
  <sheetViews>
    <sheetView tabSelected="1" zoomScale="101" workbookViewId="0">
      <selection activeCell="R5" sqref="R5"/>
    </sheetView>
  </sheetViews>
  <sheetFormatPr defaultRowHeight="14.5" x14ac:dyDescent="0.35"/>
  <sheetData>
    <row r="1" spans="1:16" x14ac:dyDescent="0.35">
      <c r="A1" s="3"/>
      <c r="B1" s="3"/>
      <c r="C1" s="3"/>
      <c r="D1" s="3"/>
      <c r="E1" s="3"/>
      <c r="F1" s="3"/>
      <c r="G1" s="3"/>
      <c r="H1" s="3"/>
      <c r="I1" s="3"/>
      <c r="J1" s="3"/>
      <c r="K1" s="3"/>
      <c r="L1" s="3"/>
      <c r="M1" s="3"/>
      <c r="N1" s="3"/>
      <c r="O1" s="3"/>
      <c r="P1" s="3"/>
    </row>
    <row r="2" spans="1:16" x14ac:dyDescent="0.35">
      <c r="A2" s="3"/>
      <c r="B2" s="3"/>
      <c r="C2" s="3"/>
      <c r="D2" s="3"/>
      <c r="E2" s="3"/>
      <c r="F2" s="3"/>
      <c r="G2" s="3"/>
      <c r="H2" s="3"/>
      <c r="I2" s="3"/>
      <c r="J2" s="3"/>
      <c r="K2" s="3"/>
      <c r="L2" s="3"/>
      <c r="M2" s="3"/>
      <c r="N2" s="3"/>
      <c r="O2" s="3"/>
      <c r="P2" s="3"/>
    </row>
    <row r="3" spans="1:16" x14ac:dyDescent="0.35">
      <c r="A3" s="3"/>
      <c r="B3" s="3"/>
      <c r="C3" s="3"/>
      <c r="D3" s="3"/>
      <c r="E3" s="3"/>
      <c r="F3" s="3"/>
      <c r="G3" s="3"/>
      <c r="H3" s="3"/>
      <c r="I3" s="3"/>
      <c r="J3" s="3"/>
      <c r="K3" s="3"/>
      <c r="L3" s="3"/>
      <c r="M3" s="3"/>
      <c r="N3" s="3"/>
      <c r="O3" s="3"/>
      <c r="P3" s="3"/>
    </row>
    <row r="4" spans="1:16" x14ac:dyDescent="0.35">
      <c r="A4" s="3"/>
      <c r="B4" s="3"/>
      <c r="C4" s="3"/>
      <c r="D4" s="3"/>
      <c r="E4" s="3"/>
      <c r="F4" s="3"/>
      <c r="G4" s="3"/>
      <c r="H4" s="3"/>
      <c r="I4" s="3"/>
      <c r="J4" s="3"/>
      <c r="K4" s="3"/>
      <c r="L4" s="3"/>
      <c r="M4" s="3"/>
      <c r="N4" s="3"/>
      <c r="O4" s="3"/>
      <c r="P4" s="3"/>
    </row>
    <row r="5" spans="1:16" x14ac:dyDescent="0.35">
      <c r="A5" s="3"/>
      <c r="B5" s="3"/>
      <c r="C5" s="3"/>
      <c r="D5" s="3"/>
      <c r="E5" s="3"/>
      <c r="F5" s="3"/>
      <c r="G5" s="3"/>
      <c r="H5" s="3"/>
      <c r="I5" s="3"/>
      <c r="J5" s="3"/>
      <c r="K5" s="3"/>
      <c r="L5" s="3"/>
      <c r="M5" s="3"/>
      <c r="N5" s="3"/>
      <c r="O5" s="3"/>
      <c r="P5" s="3"/>
    </row>
    <row r="6" spans="1:16" x14ac:dyDescent="0.35">
      <c r="A6" s="3"/>
      <c r="B6" s="3"/>
      <c r="C6" s="3"/>
      <c r="D6" s="3"/>
      <c r="E6" s="3"/>
      <c r="F6" s="3"/>
      <c r="G6" s="3"/>
      <c r="H6" s="3"/>
      <c r="I6" s="3"/>
      <c r="J6" s="3"/>
      <c r="K6" s="3"/>
      <c r="L6" s="3"/>
      <c r="M6" s="3"/>
      <c r="N6" s="3"/>
      <c r="O6" s="3"/>
      <c r="P6" s="3"/>
    </row>
    <row r="7" spans="1:16" x14ac:dyDescent="0.35">
      <c r="A7" s="3"/>
      <c r="B7" s="3"/>
      <c r="C7" s="3"/>
      <c r="D7" s="3"/>
      <c r="E7" s="3"/>
      <c r="F7" s="3"/>
      <c r="G7" s="3"/>
      <c r="H7" s="3"/>
      <c r="I7" s="3"/>
      <c r="J7" s="3"/>
      <c r="K7" s="3"/>
      <c r="L7" s="3"/>
      <c r="M7" s="3"/>
      <c r="N7" s="3"/>
      <c r="O7" s="3"/>
      <c r="P7" s="3"/>
    </row>
    <row r="8" spans="1:16" x14ac:dyDescent="0.35">
      <c r="A8" s="3"/>
      <c r="B8" s="3"/>
      <c r="C8" s="3"/>
      <c r="D8" s="3"/>
      <c r="E8" s="3"/>
      <c r="F8" s="3"/>
      <c r="G8" s="3"/>
      <c r="H8" s="3"/>
      <c r="I8" s="3"/>
      <c r="J8" s="3"/>
      <c r="K8" s="3"/>
      <c r="L8" s="3"/>
      <c r="M8" s="3"/>
      <c r="N8" s="3"/>
      <c r="O8" s="3"/>
      <c r="P8" s="3"/>
    </row>
    <row r="9" spans="1:16" x14ac:dyDescent="0.35">
      <c r="A9" s="3"/>
      <c r="B9" s="3"/>
      <c r="C9" s="3"/>
      <c r="D9" s="3"/>
      <c r="E9" s="3"/>
      <c r="F9" s="3"/>
      <c r="G9" s="3"/>
      <c r="H9" s="3"/>
      <c r="I9" s="3"/>
      <c r="J9" s="3"/>
      <c r="K9" s="3"/>
      <c r="L9" s="3"/>
      <c r="M9" s="3"/>
      <c r="N9" s="3"/>
      <c r="O9" s="3"/>
      <c r="P9" s="3"/>
    </row>
    <row r="10" spans="1:16" x14ac:dyDescent="0.35">
      <c r="A10" s="3"/>
      <c r="B10" s="3"/>
      <c r="C10" s="3"/>
      <c r="D10" s="3"/>
      <c r="E10" s="3"/>
      <c r="F10" s="3"/>
      <c r="G10" s="3"/>
      <c r="H10" s="3"/>
      <c r="I10" s="3"/>
      <c r="J10" s="3"/>
      <c r="K10" s="3"/>
      <c r="L10" s="3"/>
      <c r="M10" s="3"/>
      <c r="N10" s="3"/>
      <c r="O10" s="3"/>
      <c r="P10" s="3"/>
    </row>
    <row r="11" spans="1:16" x14ac:dyDescent="0.35">
      <c r="A11" s="3"/>
      <c r="B11" s="3"/>
      <c r="C11" s="3"/>
      <c r="D11" s="3"/>
      <c r="E11" s="3"/>
      <c r="F11" s="3"/>
      <c r="G11" s="3"/>
      <c r="H11" s="3"/>
      <c r="I11" s="3"/>
      <c r="J11" s="3"/>
      <c r="K11" s="3"/>
      <c r="L11" s="3"/>
      <c r="M11" s="3"/>
      <c r="N11" s="3"/>
      <c r="O11" s="3"/>
      <c r="P11" s="3"/>
    </row>
    <row r="12" spans="1:16" x14ac:dyDescent="0.35">
      <c r="A12" s="3"/>
      <c r="B12" s="3"/>
      <c r="C12" s="3"/>
      <c r="D12" s="3"/>
      <c r="E12" s="3"/>
      <c r="F12" s="3"/>
      <c r="G12" s="3"/>
      <c r="H12" s="3"/>
      <c r="I12" s="3"/>
      <c r="J12" s="3"/>
      <c r="K12" s="3"/>
      <c r="L12" s="3"/>
      <c r="M12" s="3"/>
      <c r="N12" s="3"/>
      <c r="O12" s="3"/>
      <c r="P12" s="3"/>
    </row>
    <row r="13" spans="1:16" x14ac:dyDescent="0.35">
      <c r="A13" s="3"/>
      <c r="B13" s="3"/>
      <c r="C13" s="3"/>
      <c r="D13" s="3"/>
      <c r="E13" s="3"/>
      <c r="F13" s="3"/>
      <c r="G13" s="3"/>
      <c r="H13" s="3"/>
      <c r="I13" s="3"/>
      <c r="J13" s="3"/>
      <c r="K13" s="3"/>
      <c r="L13" s="3"/>
      <c r="M13" s="3"/>
      <c r="N13" s="3"/>
      <c r="O13" s="3"/>
      <c r="P13" s="3"/>
    </row>
    <row r="14" spans="1:16" x14ac:dyDescent="0.35">
      <c r="A14" s="3"/>
      <c r="B14" s="3"/>
      <c r="C14" s="3"/>
      <c r="D14" s="3"/>
      <c r="E14" s="3"/>
      <c r="F14" s="3"/>
      <c r="G14" s="3"/>
      <c r="H14" s="3"/>
      <c r="I14" s="3"/>
      <c r="J14" s="3"/>
      <c r="K14" s="3"/>
      <c r="L14" s="3"/>
      <c r="M14" s="3"/>
      <c r="N14" s="3"/>
      <c r="O14" s="3"/>
      <c r="P14" s="3"/>
    </row>
    <row r="15" spans="1:16" x14ac:dyDescent="0.35">
      <c r="A15" s="3"/>
      <c r="B15" s="3"/>
      <c r="C15" s="3"/>
      <c r="D15" s="3"/>
      <c r="E15" s="3"/>
      <c r="F15" s="3"/>
      <c r="G15" s="3"/>
      <c r="H15" s="3"/>
      <c r="I15" s="3"/>
      <c r="J15" s="3"/>
      <c r="K15" s="3"/>
      <c r="L15" s="3"/>
      <c r="M15" s="3"/>
      <c r="N15" s="3"/>
      <c r="O15" s="3"/>
      <c r="P15" s="3"/>
    </row>
    <row r="16" spans="1:16" x14ac:dyDescent="0.35">
      <c r="A16" s="3"/>
      <c r="B16" s="3"/>
      <c r="C16" s="3"/>
      <c r="D16" s="3"/>
      <c r="E16" s="3"/>
      <c r="F16" s="3"/>
      <c r="G16" s="3"/>
      <c r="H16" s="3"/>
      <c r="I16" s="3"/>
      <c r="J16" s="3"/>
      <c r="K16" s="3"/>
      <c r="L16" s="3"/>
      <c r="M16" s="3"/>
      <c r="N16" s="3"/>
      <c r="O16" s="3"/>
      <c r="P16" s="3"/>
    </row>
    <row r="17" spans="1:16" x14ac:dyDescent="0.35">
      <c r="A17" s="3"/>
      <c r="B17" s="3"/>
      <c r="C17" s="3"/>
      <c r="D17" s="3"/>
      <c r="E17" s="3"/>
      <c r="F17" s="3"/>
      <c r="G17" s="3"/>
      <c r="H17" s="3"/>
      <c r="I17" s="3"/>
      <c r="J17" s="3"/>
      <c r="K17" s="3"/>
      <c r="L17" s="3"/>
      <c r="M17" s="3"/>
      <c r="N17" s="3"/>
      <c r="O17" s="3"/>
      <c r="P17" s="3"/>
    </row>
    <row r="18" spans="1:16" x14ac:dyDescent="0.35">
      <c r="A18" s="3"/>
      <c r="B18" s="3"/>
      <c r="C18" s="3"/>
      <c r="D18" s="3"/>
      <c r="E18" s="3"/>
      <c r="F18" s="3"/>
      <c r="G18" s="3"/>
      <c r="H18" s="3"/>
      <c r="I18" s="3"/>
      <c r="J18" s="3"/>
      <c r="K18" s="3"/>
      <c r="L18" s="3"/>
      <c r="M18" s="3"/>
      <c r="N18" s="3"/>
      <c r="O18" s="3"/>
      <c r="P18" s="3"/>
    </row>
    <row r="19" spans="1:16" x14ac:dyDescent="0.35">
      <c r="A19" s="3"/>
      <c r="B19" s="3"/>
      <c r="C19" s="3"/>
      <c r="D19" s="3"/>
      <c r="E19" s="3"/>
      <c r="F19" s="3"/>
      <c r="G19" s="3"/>
      <c r="H19" s="3"/>
      <c r="I19" s="3"/>
      <c r="J19" s="3"/>
      <c r="K19" s="3"/>
      <c r="L19" s="3"/>
      <c r="M19" s="3"/>
      <c r="N19" s="3"/>
      <c r="O19" s="3"/>
      <c r="P19" s="3"/>
    </row>
    <row r="20" spans="1:16" x14ac:dyDescent="0.35">
      <c r="A20" s="3"/>
      <c r="B20" s="3"/>
      <c r="C20" s="3"/>
      <c r="D20" s="3"/>
      <c r="E20" s="3"/>
      <c r="F20" s="3"/>
      <c r="G20" s="3"/>
      <c r="H20" s="3"/>
      <c r="I20" s="3"/>
      <c r="J20" s="3"/>
      <c r="K20" s="3"/>
      <c r="L20" s="3"/>
      <c r="M20" s="3"/>
      <c r="N20" s="3"/>
      <c r="O20" s="3"/>
      <c r="P20" s="3"/>
    </row>
    <row r="21" spans="1:16" x14ac:dyDescent="0.35">
      <c r="A21" s="3"/>
      <c r="B21" s="3"/>
      <c r="C21" s="3"/>
      <c r="D21" s="3"/>
      <c r="E21" s="3"/>
      <c r="F21" s="3"/>
      <c r="G21" s="3"/>
      <c r="H21" s="3"/>
      <c r="I21" s="3"/>
      <c r="J21" s="3"/>
      <c r="K21" s="3"/>
      <c r="L21" s="3"/>
      <c r="M21" s="3"/>
      <c r="N21" s="3"/>
      <c r="O21" s="3"/>
      <c r="P21" s="3"/>
    </row>
    <row r="22" spans="1:16" x14ac:dyDescent="0.35">
      <c r="A22" s="3"/>
      <c r="B22" s="3"/>
      <c r="C22" s="3"/>
      <c r="D22" s="3"/>
      <c r="E22" s="3"/>
      <c r="F22" s="3"/>
      <c r="G22" s="3"/>
      <c r="H22" s="3"/>
      <c r="I22" s="3"/>
      <c r="J22" s="3"/>
      <c r="K22" s="3"/>
      <c r="L22" s="3"/>
      <c r="M22" s="3"/>
      <c r="N22" s="3"/>
      <c r="O22" s="3"/>
      <c r="P22" s="3"/>
    </row>
    <row r="23" spans="1:16" x14ac:dyDescent="0.35">
      <c r="A23" s="3"/>
      <c r="B23" s="3"/>
      <c r="C23" s="3"/>
      <c r="D23" s="3"/>
      <c r="E23" s="3"/>
      <c r="F23" s="3"/>
      <c r="G23" s="3"/>
      <c r="H23" s="3"/>
      <c r="I23" s="3"/>
      <c r="J23" s="3"/>
      <c r="K23" s="3"/>
      <c r="L23" s="3"/>
      <c r="M23" s="3"/>
      <c r="N23" s="3"/>
      <c r="O23" s="3"/>
      <c r="P23"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27EB1-EB0E-4BF7-988F-C4BFC7C89115}">
  <dimension ref="A2:K17"/>
  <sheetViews>
    <sheetView topLeftCell="A11" workbookViewId="0">
      <selection activeCell="R27" sqref="R27"/>
    </sheetView>
  </sheetViews>
  <sheetFormatPr defaultRowHeight="14.5" x14ac:dyDescent="0.35"/>
  <cols>
    <col min="1" max="1" width="13.08984375" bestFit="1" customWidth="1"/>
  </cols>
  <sheetData>
    <row r="2" spans="1:11" x14ac:dyDescent="0.35">
      <c r="A2" s="11" t="s">
        <v>70</v>
      </c>
      <c r="I2" s="11" t="s">
        <v>71</v>
      </c>
      <c r="J2" s="11"/>
      <c r="K2" s="11"/>
    </row>
    <row r="17" spans="1:2" x14ac:dyDescent="0.35">
      <c r="A17" s="11" t="s">
        <v>72</v>
      </c>
      <c r="B17"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DFE1E5C-84AD-494C-899E-EEBFE3344FEA}">
  <ds:schemaRefs/>
</ds:datastoreItem>
</file>

<file path=customXml/itemProps2.xml><?xml version="1.0" encoding="utf-8"?>
<ds:datastoreItem xmlns:ds="http://schemas.openxmlformats.org/officeDocument/2006/customXml" ds:itemID="{FD2550A5-EEC0-45A0-A18D-AB4025C11F21}">
  <ds:schemaRefs/>
</ds:datastoreItem>
</file>

<file path=customXml/itemProps3.xml><?xml version="1.0" encoding="utf-8"?>
<ds:datastoreItem xmlns:ds="http://schemas.openxmlformats.org/officeDocument/2006/customXml" ds:itemID="{0B65AEA1-2348-417A-B7B8-7988E1153784}">
  <ds:schemaRefs/>
</ds:datastoreItem>
</file>

<file path=customXml/itemProps4.xml><?xml version="1.0" encoding="utf-8"?>
<ds:datastoreItem xmlns:ds="http://schemas.openxmlformats.org/officeDocument/2006/customXml" ds:itemID="{2C3AD1DD-51B4-4380-AB1D-A156E5D219AC}">
  <ds:schemaRefs/>
</ds:datastoreItem>
</file>

<file path=customXml/itemProps5.xml><?xml version="1.0" encoding="utf-8"?>
<ds:datastoreItem xmlns:ds="http://schemas.openxmlformats.org/officeDocument/2006/customXml" ds:itemID="{93299D8D-38CC-42B9-81EB-E69CD55C87AB}">
  <ds:schemaRefs/>
</ds:datastoreItem>
</file>

<file path=customXml/itemProps6.xml><?xml version="1.0" encoding="utf-8"?>
<ds:datastoreItem xmlns:ds="http://schemas.openxmlformats.org/officeDocument/2006/customXml" ds:itemID="{2722E28A-63F9-448F-8C44-6473ACF33B8B}">
  <ds:schemaRefs/>
</ds:datastoreItem>
</file>

<file path=customXml/itemProps7.xml><?xml version="1.0" encoding="utf-8"?>
<ds:datastoreItem xmlns:ds="http://schemas.openxmlformats.org/officeDocument/2006/customXml" ds:itemID="{B78AA816-6AF1-44A6-AC91-AA28258D7AD4}">
  <ds:schemaRefs/>
</ds:datastoreItem>
</file>

<file path=customXml/itemProps8.xml><?xml version="1.0" encoding="utf-8"?>
<ds:datastoreItem xmlns:ds="http://schemas.openxmlformats.org/officeDocument/2006/customXml" ds:itemID="{F3240FDD-3D06-424B-A28A-8083D64C16A1}">
  <ds:schemaRefs/>
</ds:datastoreItem>
</file>

<file path=customXml/itemProps9.xml><?xml version="1.0" encoding="utf-8"?>
<ds:datastoreItem xmlns:ds="http://schemas.openxmlformats.org/officeDocument/2006/customXml" ds:itemID="{9A5E3C3E-7E83-422D-9A19-3669D143A648}">
  <ds:schemaRefs/>
</ds:datastoreItem>
</file>

<file path=customXml/itemProps10.xml><?xml version="1.0" encoding="utf-8"?>
<ds:datastoreItem xmlns:ds="http://schemas.openxmlformats.org/officeDocument/2006/customXml" ds:itemID="{FF91FD9B-3241-45F1-AFA7-4D9DF196D88A}">
  <ds:schemaRefs>
    <ds:schemaRef ds:uri="http://schemas.microsoft.com/DataMashup"/>
  </ds:schemaRefs>
</ds:datastoreItem>
</file>

<file path=customXml/itemProps11.xml><?xml version="1.0" encoding="utf-8"?>
<ds:datastoreItem xmlns:ds="http://schemas.openxmlformats.org/officeDocument/2006/customXml" ds:itemID="{95CF7A39-419C-4F36-8D9E-1AB7921DAB84}">
  <ds:schemaRefs/>
</ds:datastoreItem>
</file>

<file path=customXml/itemProps12.xml><?xml version="1.0" encoding="utf-8"?>
<ds:datastoreItem xmlns:ds="http://schemas.openxmlformats.org/officeDocument/2006/customXml" ds:itemID="{6871D7FD-E53F-43A4-9818-FAE2F89EC6AB}">
  <ds:schemaRefs/>
</ds:datastoreItem>
</file>

<file path=customXml/itemProps13.xml><?xml version="1.0" encoding="utf-8"?>
<ds:datastoreItem xmlns:ds="http://schemas.openxmlformats.org/officeDocument/2006/customXml" ds:itemID="{675B7974-9E0A-4B4F-92BE-2F8DE409FDAC}">
  <ds:schemaRefs/>
</ds:datastoreItem>
</file>

<file path=customXml/itemProps14.xml><?xml version="1.0" encoding="utf-8"?>
<ds:datastoreItem xmlns:ds="http://schemas.openxmlformats.org/officeDocument/2006/customXml" ds:itemID="{0F9B9306-0CED-4986-B31A-87379D0B450B}">
  <ds:schemaRefs/>
</ds:datastoreItem>
</file>

<file path=customXml/itemProps15.xml><?xml version="1.0" encoding="utf-8"?>
<ds:datastoreItem xmlns:ds="http://schemas.openxmlformats.org/officeDocument/2006/customXml" ds:itemID="{CFB2522F-A42C-4540-A551-366E3744E78D}">
  <ds:schemaRefs/>
</ds:datastoreItem>
</file>

<file path=customXml/itemProps16.xml><?xml version="1.0" encoding="utf-8"?>
<ds:datastoreItem xmlns:ds="http://schemas.openxmlformats.org/officeDocument/2006/customXml" ds:itemID="{061934A3-E248-440F-BAE0-49C7AC2F2170}">
  <ds:schemaRefs/>
</ds:datastoreItem>
</file>

<file path=customXml/itemProps17.xml><?xml version="1.0" encoding="utf-8"?>
<ds:datastoreItem xmlns:ds="http://schemas.openxmlformats.org/officeDocument/2006/customXml" ds:itemID="{4FBBBC66-52FE-4128-94B9-2E4CE3C63E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2026-10-02T05:55:46Z</dcterms:created>
  <dcterms:modified xsi:type="dcterms:W3CDTF">2026-10-13T10:03:05Z</dcterms:modified>
</cp:coreProperties>
</file>